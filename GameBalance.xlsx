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XP &amp; Levels" sheetId="2" state="visible" r:id="rId2"/>
    <sheet name="Player Progression" sheetId="3" state="visible" r:id="rId3"/>
    <sheet name="Enemies" sheetId="4" state="visible" r:id="rId4"/>
    <sheet name="Waves" sheetId="5" state="visible" r:id="rId5"/>
    <sheet name="Abilities" sheetId="6" state="visible" r:id="rId6"/>
    <sheet name="Economy &amp; Meta" sheetId="7" state="visible" r:id="rId7"/>
    <sheet name="Balance Iss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x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1F6B1F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99"/>
      </patternFill>
    </fill>
    <fill>
      <patternFill patternType="solid">
        <fgColor rgb="00365F91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2" borderId="1" pivotButton="0" quotePrefix="0" xfId="0"/>
    <xf numFmtId="0" fontId="5" fillId="0" borderId="1" pivotButton="0" quotePrefix="0" xfId="0"/>
    <xf numFmtId="1" fontId="6" fillId="3" borderId="1" applyAlignment="1" pivotButton="0" quotePrefix="0" xfId="0">
      <alignment horizontal="center"/>
    </xf>
    <xf numFmtId="0" fontId="2" fillId="0" borderId="1" pivotButton="0" quotePrefix="0" xfId="0"/>
    <xf numFmtId="2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4" fillId="0" borderId="1" pivotButton="0" quotePrefix="0" xfId="0"/>
    <xf numFmtId="0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5" customWidth="1" min="3" max="3"/>
  </cols>
  <sheetData>
    <row r="1">
      <c r="A1" s="1" t="inlineStr">
        <is>
          <t>GAME BALANCE — TUNABLE CONFIG</t>
        </is>
      </c>
    </row>
    <row r="2">
      <c r="A2" s="2" t="inlineStr">
        <is>
          <t>Sari hucreleri degistir -&gt; diger sayfalar otomatik hesaplar (onizleme).</t>
        </is>
      </c>
    </row>
    <row r="3">
      <c r="A3" s="3" t="inlineStr">
        <is>
          <t>OYUNA AKTARMA: bu sayfayi CSV kaydet -&gt; proje kokune 'balance_global.csv' | Enemies sayfasini -&gt; 'balance_enemies.csv' | Unity: Tools &gt; Balance &gt; Import ALL from CSV.</t>
        </is>
      </c>
    </row>
    <row r="5">
      <c r="A5" s="4" t="inlineStr">
        <is>
          <t>XP &amp; LEVEL SYSTEM (XPSystem.cs)</t>
        </is>
      </c>
      <c r="B5" s="5" t="inlineStr"/>
      <c r="C5" s="5" t="inlineStr"/>
    </row>
    <row r="6">
      <c r="A6" s="6" t="inlineStr">
        <is>
          <t>baseXPRequired</t>
        </is>
      </c>
      <c r="B6" s="7" t="n">
        <v>140</v>
      </c>
      <c r="C6" s="8" t="inlineStr">
        <is>
          <t>Level 1-&gt;2 icin gereken XP. XPRequired(L)=base * mult^(L-1)</t>
        </is>
      </c>
    </row>
    <row r="7">
      <c r="A7" s="6" t="inlineStr">
        <is>
          <t>xpMultiplier</t>
        </is>
      </c>
      <c r="B7" s="9" t="n">
        <v>1.3</v>
      </c>
      <c r="C7" s="8" t="inlineStr">
        <is>
          <t>Her level XP ihtiyacini bu kadar buyutur. 1.15 = %15 artis</t>
        </is>
      </c>
    </row>
    <row r="9">
      <c r="A9" s="4" t="inlineStr">
        <is>
          <t>PLAYER BASE STATS (SCharacterStats.cs)</t>
        </is>
      </c>
      <c r="B9" s="5" t="inlineStr"/>
      <c r="C9" s="5" t="inlineStr"/>
    </row>
    <row r="10">
      <c r="A10" s="6" t="inlineStr">
        <is>
          <t>baseMaxHealth</t>
        </is>
      </c>
      <c r="B10" s="7" t="n">
        <v>100</v>
      </c>
      <c r="C10" s="8" t="inlineStr">
        <is>
          <t>Level 1 can</t>
        </is>
      </c>
    </row>
    <row r="11">
      <c r="A11" s="6" t="inlineStr">
        <is>
          <t>baseDamage</t>
        </is>
      </c>
      <c r="B11" s="7" t="n">
        <v>10</v>
      </c>
      <c r="C11" s="8" t="inlineStr">
        <is>
          <t>Level 1 hasar (yakin dovus)</t>
        </is>
      </c>
    </row>
    <row r="12">
      <c r="A12" s="6" t="inlineStr">
        <is>
          <t>baseSpeed</t>
        </is>
      </c>
      <c r="B12" s="7" t="n">
        <v>5</v>
      </c>
      <c r="C12" s="8" t="inlineStr">
        <is>
          <t>Hareket hizi</t>
        </is>
      </c>
    </row>
    <row r="13">
      <c r="A13" s="6" t="inlineStr">
        <is>
          <t>baseDefense</t>
        </is>
      </c>
      <c r="B13" s="7" t="n">
        <v>0</v>
      </c>
      <c r="C13" s="8" t="inlineStr"/>
    </row>
    <row r="14">
      <c r="A14" s="6" t="inlineStr">
        <is>
          <t>baseCritChance</t>
        </is>
      </c>
      <c r="B14" s="9" t="n">
        <v>0.05</v>
      </c>
      <c r="C14" s="8" t="inlineStr">
        <is>
          <t>Kritik sansi (0.05 = %5)</t>
        </is>
      </c>
    </row>
    <row r="16">
      <c r="A16" s="4" t="inlineStr">
        <is>
          <t>PLAYER LEVEL-UP GAINS (SCharacterStats.HandleLevelUp)</t>
        </is>
      </c>
      <c r="B16" s="5" t="inlineStr"/>
      <c r="C16" s="5" t="inlineStr"/>
    </row>
    <row r="17">
      <c r="A17" s="6" t="inlineStr">
        <is>
          <t>healthIncreasePerLevel</t>
        </is>
      </c>
      <c r="B17" s="7" t="n">
        <v>8</v>
      </c>
      <c r="C17" s="8" t="inlineStr">
        <is>
          <t>!! HER level-up'ta: +healthIncreasePerLevel * yeniLevel HP. Level'le KATLANARAK buyur.</t>
        </is>
      </c>
    </row>
    <row r="18">
      <c r="A18" s="6" t="inlineStr">
        <is>
          <t>damageIncreasePerLevel</t>
        </is>
      </c>
      <c r="B18" s="9" t="n">
        <v>2.5</v>
      </c>
      <c r="C18" s="8" t="inlineStr">
        <is>
          <t>!! HER level-up'ta: +damageIncreasePerLevel * yeniLevel hasar.</t>
        </is>
      </c>
    </row>
    <row r="20">
      <c r="A20" s="4" t="inlineStr">
        <is>
          <t>WAVE SPAWNING (EnemySpawner, nav.unity)</t>
        </is>
      </c>
      <c r="B20" s="5" t="inlineStr"/>
      <c r="C20" s="5" t="inlineStr"/>
    </row>
    <row r="21">
      <c r="A21" s="6" t="inlineStr">
        <is>
          <t>baseEnemyCount</t>
        </is>
      </c>
      <c r="B21" s="7" t="n">
        <v>3</v>
      </c>
      <c r="C21" s="8" t="inlineStr">
        <is>
          <t>1. dalgadaki dusman sayisi</t>
        </is>
      </c>
    </row>
    <row r="22">
      <c r="A22" s="6" t="inlineStr">
        <is>
          <t>countIncrement</t>
        </is>
      </c>
      <c r="B22" s="7" t="n">
        <v>1</v>
      </c>
      <c r="C22" s="8" t="inlineStr">
        <is>
          <t>Her dalga +bu kadar dusman</t>
        </is>
      </c>
    </row>
    <row r="23">
      <c r="A23" s="6" t="inlineStr">
        <is>
          <t>maxWaveEnemyCount</t>
        </is>
      </c>
      <c r="B23" s="7" t="n">
        <v>15</v>
      </c>
      <c r="C23" s="8" t="inlineStr">
        <is>
          <t>Bir dalgada max dusman (ust sinir)</t>
        </is>
      </c>
    </row>
    <row r="24">
      <c r="A24" s="6" t="inlineStr">
        <is>
          <t>spawnRadius</t>
        </is>
      </c>
      <c r="B24" s="7" t="n">
        <v>40</v>
      </c>
      <c r="C24" s="8" t="inlineStr">
        <is>
          <t>Dusmanlar player'dan bu uzaklikta spawn olur</t>
        </is>
      </c>
    </row>
    <row r="25">
      <c r="A25" s="6" t="inlineStr">
        <is>
          <t>spawnInterval</t>
        </is>
      </c>
      <c r="B25" s="9" t="n">
        <v>0.4</v>
      </c>
      <c r="C25" s="8" t="inlineStr">
        <is>
          <t>Ayni dalgada dusmanlar arasi spawn araligi (sn)</t>
        </is>
      </c>
    </row>
    <row r="26">
      <c r="A26" s="6" t="inlineStr">
        <is>
          <t>waveCooldown</t>
        </is>
      </c>
      <c r="B26" s="7" t="n">
        <v>8</v>
      </c>
      <c r="C26" s="8" t="inlineStr">
        <is>
          <t>Dalga temizlenince sonraki dalgaya kadar bekleme (sn)</t>
        </is>
      </c>
    </row>
    <row r="27">
      <c r="A27" s="6" t="inlineStr">
        <is>
          <t>startupDelay</t>
        </is>
      </c>
      <c r="B27" s="7" t="n">
        <v>7</v>
      </c>
      <c r="C27" s="8" t="inlineStr">
        <is>
          <t>Oyun basi ilk dalgaya kadar bekleme (sn)</t>
        </is>
      </c>
    </row>
    <row r="29">
      <c r="A29" s="4" t="inlineStr">
        <is>
          <t>ABILITY COOLDOWN SCALING (AbilityController.cs)</t>
        </is>
      </c>
      <c r="B29" s="5" t="inlineStr"/>
      <c r="C29" s="5" t="inlineStr"/>
    </row>
    <row r="30">
      <c r="A30" s="6" t="inlineStr">
        <is>
          <t>abilityCDLevelFactor</t>
        </is>
      </c>
      <c r="B30" s="9" t="n">
        <v>0.05</v>
      </c>
      <c r="C30" s="8" t="inlineStr">
        <is>
          <t>effectiveCD = Cooldown / (1 + factor*level). 0.05 = level 10'da CD ~%33 daha kisa</t>
        </is>
      </c>
    </row>
    <row r="32">
      <c r="A32" s="4" t="inlineStr">
        <is>
          <t>META / CATCH-UP (EnemySpawner.Start, SaveSystem)</t>
        </is>
      </c>
      <c r="B32" s="5" t="inlineStr"/>
      <c r="C32" s="5" t="inlineStr"/>
    </row>
    <row r="33">
      <c r="A33" s="6" t="inlineStr">
        <is>
          <t>catchUpEnabled</t>
        </is>
      </c>
      <c r="B33" s="7" t="n">
        <v>1</v>
      </c>
      <c r="C33" s="8" t="inlineStr">
        <is>
          <t>1=acik. Yeni run BestWave dalgasindan + BestPlayerLevel seviyesinden baslar (stat bonuslari toplu uygulanir)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XP CURVE &amp; LEVELING SPEED</t>
        </is>
      </c>
    </row>
    <row r="2">
      <c r="A2" s="2" t="inlineStr">
        <is>
          <t>Referans dusman XP: taban degerler (BasicEnemy=15). 'Kills to level' = bu levelde 1 level atlamak icin gereken basic-enemy oldurme.</t>
        </is>
      </c>
    </row>
    <row r="4">
      <c r="A4" s="10" t="inlineStr">
        <is>
          <t>Level</t>
        </is>
      </c>
      <c r="B4" s="10" t="inlineStr">
        <is>
          <t>XP for THIS level-up</t>
        </is>
      </c>
      <c r="C4" s="10" t="inlineStr">
        <is>
          <t>Cumulative XP (to reach)</t>
        </is>
      </c>
      <c r="D4" s="10" t="inlineStr">
        <is>
          <t>Kills @15xp</t>
        </is>
      </c>
      <c r="E4" s="10" t="inlineStr">
        <is>
          <t>Kills @30xp</t>
        </is>
      </c>
      <c r="F4" s="10" t="inlineStr">
        <is>
          <t>Waves to clear (~3.5 enemy/wave)</t>
        </is>
      </c>
    </row>
    <row r="5">
      <c r="A5" s="11" t="n">
        <v>1</v>
      </c>
      <c r="B5" s="12">
        <f>ROUND(Config!$B$6*Config!$B$7^(1-1),0)</f>
        <v/>
      </c>
      <c r="C5" s="12" t="n">
        <v>0</v>
      </c>
      <c r="D5" s="13">
        <f>ROUNDUP(B5/15,0)</f>
        <v/>
      </c>
      <c r="E5" s="13">
        <f>ROUNDUP(B5/30,0)</f>
        <v/>
      </c>
      <c r="F5" s="14">
        <f>ROUND(D5/3.5,1)</f>
        <v/>
      </c>
    </row>
    <row r="6">
      <c r="A6" s="11" t="n">
        <v>2</v>
      </c>
      <c r="B6" s="12">
        <f>ROUND(Config!$B$6*Config!$B$7^(2-1),0)</f>
        <v/>
      </c>
      <c r="C6" s="12">
        <f>C5+B5</f>
        <v/>
      </c>
      <c r="D6" s="13">
        <f>ROUNDUP(B6/15,0)</f>
        <v/>
      </c>
      <c r="E6" s="13">
        <f>ROUNDUP(B6/30,0)</f>
        <v/>
      </c>
      <c r="F6" s="14">
        <f>ROUND(D6/3.5,1)</f>
        <v/>
      </c>
    </row>
    <row r="7">
      <c r="A7" s="11" t="n">
        <v>3</v>
      </c>
      <c r="B7" s="12">
        <f>ROUND(Config!$B$6*Config!$B$7^(3-1),0)</f>
        <v/>
      </c>
      <c r="C7" s="12">
        <f>C6+B6</f>
        <v/>
      </c>
      <c r="D7" s="13">
        <f>ROUNDUP(B7/15,0)</f>
        <v/>
      </c>
      <c r="E7" s="13">
        <f>ROUNDUP(B7/30,0)</f>
        <v/>
      </c>
      <c r="F7" s="14">
        <f>ROUND(D7/3.5,1)</f>
        <v/>
      </c>
    </row>
    <row r="8">
      <c r="A8" s="11" t="n">
        <v>4</v>
      </c>
      <c r="B8" s="12">
        <f>ROUND(Config!$B$6*Config!$B$7^(4-1),0)</f>
        <v/>
      </c>
      <c r="C8" s="12">
        <f>C7+B7</f>
        <v/>
      </c>
      <c r="D8" s="13">
        <f>ROUNDUP(B8/15,0)</f>
        <v/>
      </c>
      <c r="E8" s="13">
        <f>ROUNDUP(B8/30,0)</f>
        <v/>
      </c>
      <c r="F8" s="14">
        <f>ROUND(D8/3.5,1)</f>
        <v/>
      </c>
    </row>
    <row r="9">
      <c r="A9" s="11" t="n">
        <v>5</v>
      </c>
      <c r="B9" s="12">
        <f>ROUND(Config!$B$6*Config!$B$7^(5-1),0)</f>
        <v/>
      </c>
      <c r="C9" s="12">
        <f>C8+B8</f>
        <v/>
      </c>
      <c r="D9" s="13">
        <f>ROUNDUP(B9/15,0)</f>
        <v/>
      </c>
      <c r="E9" s="13">
        <f>ROUNDUP(B9/30,0)</f>
        <v/>
      </c>
      <c r="F9" s="14">
        <f>ROUND(D9/3.5,1)</f>
        <v/>
      </c>
    </row>
    <row r="10">
      <c r="A10" s="11" t="n">
        <v>6</v>
      </c>
      <c r="B10" s="12">
        <f>ROUND(Config!$B$6*Config!$B$7^(6-1),0)</f>
        <v/>
      </c>
      <c r="C10" s="12">
        <f>C9+B9</f>
        <v/>
      </c>
      <c r="D10" s="13">
        <f>ROUNDUP(B10/15,0)</f>
        <v/>
      </c>
      <c r="E10" s="13">
        <f>ROUNDUP(B10/30,0)</f>
        <v/>
      </c>
      <c r="F10" s="14">
        <f>ROUND(D10/3.5,1)</f>
        <v/>
      </c>
    </row>
    <row r="11">
      <c r="A11" s="11" t="n">
        <v>7</v>
      </c>
      <c r="B11" s="12">
        <f>ROUND(Config!$B$6*Config!$B$7^(7-1),0)</f>
        <v/>
      </c>
      <c r="C11" s="12">
        <f>C10+B10</f>
        <v/>
      </c>
      <c r="D11" s="13">
        <f>ROUNDUP(B11/15,0)</f>
        <v/>
      </c>
      <c r="E11" s="13">
        <f>ROUNDUP(B11/30,0)</f>
        <v/>
      </c>
      <c r="F11" s="14">
        <f>ROUND(D11/3.5,1)</f>
        <v/>
      </c>
    </row>
    <row r="12">
      <c r="A12" s="11" t="n">
        <v>8</v>
      </c>
      <c r="B12" s="12">
        <f>ROUND(Config!$B$6*Config!$B$7^(8-1),0)</f>
        <v/>
      </c>
      <c r="C12" s="12">
        <f>C11+B11</f>
        <v/>
      </c>
      <c r="D12" s="13">
        <f>ROUNDUP(B12/15,0)</f>
        <v/>
      </c>
      <c r="E12" s="13">
        <f>ROUNDUP(B12/30,0)</f>
        <v/>
      </c>
      <c r="F12" s="14">
        <f>ROUND(D12/3.5,1)</f>
        <v/>
      </c>
    </row>
    <row r="13">
      <c r="A13" s="11" t="n">
        <v>9</v>
      </c>
      <c r="B13" s="12">
        <f>ROUND(Config!$B$6*Config!$B$7^(9-1),0)</f>
        <v/>
      </c>
      <c r="C13" s="12">
        <f>C12+B12</f>
        <v/>
      </c>
      <c r="D13" s="13">
        <f>ROUNDUP(B13/15,0)</f>
        <v/>
      </c>
      <c r="E13" s="13">
        <f>ROUNDUP(B13/30,0)</f>
        <v/>
      </c>
      <c r="F13" s="14">
        <f>ROUND(D13/3.5,1)</f>
        <v/>
      </c>
    </row>
    <row r="14">
      <c r="A14" s="11" t="n">
        <v>10</v>
      </c>
      <c r="B14" s="12">
        <f>ROUND(Config!$B$6*Config!$B$7^(10-1),0)</f>
        <v/>
      </c>
      <c r="C14" s="12">
        <f>C13+B13</f>
        <v/>
      </c>
      <c r="D14" s="13">
        <f>ROUNDUP(B14/15,0)</f>
        <v/>
      </c>
      <c r="E14" s="13">
        <f>ROUNDUP(B14/30,0)</f>
        <v/>
      </c>
      <c r="F14" s="14">
        <f>ROUND(D14/3.5,1)</f>
        <v/>
      </c>
    </row>
    <row r="15">
      <c r="A15" s="11" t="n">
        <v>11</v>
      </c>
      <c r="B15" s="12">
        <f>ROUND(Config!$B$6*Config!$B$7^(11-1),0)</f>
        <v/>
      </c>
      <c r="C15" s="12">
        <f>C14+B14</f>
        <v/>
      </c>
      <c r="D15" s="13">
        <f>ROUNDUP(B15/15,0)</f>
        <v/>
      </c>
      <c r="E15" s="13">
        <f>ROUNDUP(B15/30,0)</f>
        <v/>
      </c>
      <c r="F15" s="14">
        <f>ROUND(D15/3.5,1)</f>
        <v/>
      </c>
    </row>
    <row r="16">
      <c r="A16" s="11" t="n">
        <v>12</v>
      </c>
      <c r="B16" s="12">
        <f>ROUND(Config!$B$6*Config!$B$7^(12-1),0)</f>
        <v/>
      </c>
      <c r="C16" s="12">
        <f>C15+B15</f>
        <v/>
      </c>
      <c r="D16" s="13">
        <f>ROUNDUP(B16/15,0)</f>
        <v/>
      </c>
      <c r="E16" s="13">
        <f>ROUNDUP(B16/30,0)</f>
        <v/>
      </c>
      <c r="F16" s="14">
        <f>ROUND(D16/3.5,1)</f>
        <v/>
      </c>
    </row>
    <row r="17">
      <c r="A17" s="11" t="n">
        <v>13</v>
      </c>
      <c r="B17" s="12">
        <f>ROUND(Config!$B$6*Config!$B$7^(13-1),0)</f>
        <v/>
      </c>
      <c r="C17" s="12">
        <f>C16+B16</f>
        <v/>
      </c>
      <c r="D17" s="13">
        <f>ROUNDUP(B17/15,0)</f>
        <v/>
      </c>
      <c r="E17" s="13">
        <f>ROUNDUP(B17/30,0)</f>
        <v/>
      </c>
      <c r="F17" s="14">
        <f>ROUND(D17/3.5,1)</f>
        <v/>
      </c>
    </row>
    <row r="18">
      <c r="A18" s="11" t="n">
        <v>14</v>
      </c>
      <c r="B18" s="12">
        <f>ROUND(Config!$B$6*Config!$B$7^(14-1),0)</f>
        <v/>
      </c>
      <c r="C18" s="12">
        <f>C17+B17</f>
        <v/>
      </c>
      <c r="D18" s="13">
        <f>ROUNDUP(B18/15,0)</f>
        <v/>
      </c>
      <c r="E18" s="13">
        <f>ROUNDUP(B18/30,0)</f>
        <v/>
      </c>
      <c r="F18" s="14">
        <f>ROUND(D18/3.5,1)</f>
        <v/>
      </c>
    </row>
    <row r="19">
      <c r="A19" s="11" t="n">
        <v>15</v>
      </c>
      <c r="B19" s="12">
        <f>ROUND(Config!$B$6*Config!$B$7^(15-1),0)</f>
        <v/>
      </c>
      <c r="C19" s="12">
        <f>C18+B18</f>
        <v/>
      </c>
      <c r="D19" s="13">
        <f>ROUNDUP(B19/15,0)</f>
        <v/>
      </c>
      <c r="E19" s="13">
        <f>ROUNDUP(B19/30,0)</f>
        <v/>
      </c>
      <c r="F19" s="14">
        <f>ROUND(D19/3.5,1)</f>
        <v/>
      </c>
    </row>
    <row r="20">
      <c r="A20" s="11" t="n">
        <v>16</v>
      </c>
      <c r="B20" s="12">
        <f>ROUND(Config!$B$6*Config!$B$7^(16-1),0)</f>
        <v/>
      </c>
      <c r="C20" s="12">
        <f>C19+B19</f>
        <v/>
      </c>
      <c r="D20" s="13">
        <f>ROUNDUP(B20/15,0)</f>
        <v/>
      </c>
      <c r="E20" s="13">
        <f>ROUNDUP(B20/30,0)</f>
        <v/>
      </c>
      <c r="F20" s="14">
        <f>ROUND(D20/3.5,1)</f>
        <v/>
      </c>
    </row>
    <row r="21">
      <c r="A21" s="11" t="n">
        <v>17</v>
      </c>
      <c r="B21" s="12">
        <f>ROUND(Config!$B$6*Config!$B$7^(17-1),0)</f>
        <v/>
      </c>
      <c r="C21" s="12">
        <f>C20+B20</f>
        <v/>
      </c>
      <c r="D21" s="13">
        <f>ROUNDUP(B21/15,0)</f>
        <v/>
      </c>
      <c r="E21" s="13">
        <f>ROUNDUP(B21/30,0)</f>
        <v/>
      </c>
      <c r="F21" s="14">
        <f>ROUND(D21/3.5,1)</f>
        <v/>
      </c>
    </row>
    <row r="22">
      <c r="A22" s="11" t="n">
        <v>18</v>
      </c>
      <c r="B22" s="12">
        <f>ROUND(Config!$B$6*Config!$B$7^(18-1),0)</f>
        <v/>
      </c>
      <c r="C22" s="12">
        <f>C21+B21</f>
        <v/>
      </c>
      <c r="D22" s="13">
        <f>ROUNDUP(B22/15,0)</f>
        <v/>
      </c>
      <c r="E22" s="13">
        <f>ROUNDUP(B22/30,0)</f>
        <v/>
      </c>
      <c r="F22" s="14">
        <f>ROUND(D22/3.5,1)</f>
        <v/>
      </c>
    </row>
    <row r="23">
      <c r="A23" s="11" t="n">
        <v>19</v>
      </c>
      <c r="B23" s="12">
        <f>ROUND(Config!$B$6*Config!$B$7^(19-1),0)</f>
        <v/>
      </c>
      <c r="C23" s="12">
        <f>C22+B22</f>
        <v/>
      </c>
      <c r="D23" s="13">
        <f>ROUNDUP(B23/15,0)</f>
        <v/>
      </c>
      <c r="E23" s="13">
        <f>ROUNDUP(B23/30,0)</f>
        <v/>
      </c>
      <c r="F23" s="14">
        <f>ROUND(D23/3.5,1)</f>
        <v/>
      </c>
    </row>
    <row r="24">
      <c r="A24" s="11" t="n">
        <v>20</v>
      </c>
      <c r="B24" s="12">
        <f>ROUND(Config!$B$6*Config!$B$7^(20-1),0)</f>
        <v/>
      </c>
      <c r="C24" s="12">
        <f>C23+B23</f>
        <v/>
      </c>
      <c r="D24" s="13">
        <f>ROUNDUP(B24/15,0)</f>
        <v/>
      </c>
      <c r="E24" s="13">
        <f>ROUNDUP(B24/30,0)</f>
        <v/>
      </c>
      <c r="F24" s="14">
        <f>ROUND(D24/3.5,1)</f>
        <v/>
      </c>
    </row>
    <row r="25">
      <c r="A25" s="11" t="n">
        <v>21</v>
      </c>
      <c r="B25" s="12">
        <f>ROUND(Config!$B$6*Config!$B$7^(21-1),0)</f>
        <v/>
      </c>
      <c r="C25" s="12">
        <f>C24+B24</f>
        <v/>
      </c>
      <c r="D25" s="13">
        <f>ROUNDUP(B25/15,0)</f>
        <v/>
      </c>
      <c r="E25" s="13">
        <f>ROUNDUP(B25/30,0)</f>
        <v/>
      </c>
      <c r="F25" s="14">
        <f>ROUND(D25/3.5,1)</f>
        <v/>
      </c>
    </row>
    <row r="26">
      <c r="A26" s="11" t="n">
        <v>22</v>
      </c>
      <c r="B26" s="12">
        <f>ROUND(Config!$B$6*Config!$B$7^(22-1),0)</f>
        <v/>
      </c>
      <c r="C26" s="12">
        <f>C25+B25</f>
        <v/>
      </c>
      <c r="D26" s="13">
        <f>ROUNDUP(B26/15,0)</f>
        <v/>
      </c>
      <c r="E26" s="13">
        <f>ROUNDUP(B26/30,0)</f>
        <v/>
      </c>
      <c r="F26" s="14">
        <f>ROUND(D26/3.5,1)</f>
        <v/>
      </c>
    </row>
    <row r="27">
      <c r="A27" s="11" t="n">
        <v>23</v>
      </c>
      <c r="B27" s="12">
        <f>ROUND(Config!$B$6*Config!$B$7^(23-1),0)</f>
        <v/>
      </c>
      <c r="C27" s="12">
        <f>C26+B26</f>
        <v/>
      </c>
      <c r="D27" s="13">
        <f>ROUNDUP(B27/15,0)</f>
        <v/>
      </c>
      <c r="E27" s="13">
        <f>ROUNDUP(B27/30,0)</f>
        <v/>
      </c>
      <c r="F27" s="14">
        <f>ROUND(D27/3.5,1)</f>
        <v/>
      </c>
    </row>
    <row r="28">
      <c r="A28" s="11" t="n">
        <v>24</v>
      </c>
      <c r="B28" s="12">
        <f>ROUND(Config!$B$6*Config!$B$7^(24-1),0)</f>
        <v/>
      </c>
      <c r="C28" s="12">
        <f>C27+B27</f>
        <v/>
      </c>
      <c r="D28" s="13">
        <f>ROUNDUP(B28/15,0)</f>
        <v/>
      </c>
      <c r="E28" s="13">
        <f>ROUNDUP(B28/30,0)</f>
        <v/>
      </c>
      <c r="F28" s="14">
        <f>ROUND(D28/3.5,1)</f>
        <v/>
      </c>
    </row>
    <row r="29">
      <c r="A29" s="11" t="n">
        <v>25</v>
      </c>
      <c r="B29" s="12">
        <f>ROUND(Config!$B$6*Config!$B$7^(25-1),0)</f>
        <v/>
      </c>
      <c r="C29" s="12">
        <f>C28+B28</f>
        <v/>
      </c>
      <c r="D29" s="13">
        <f>ROUNDUP(B29/15,0)</f>
        <v/>
      </c>
      <c r="E29" s="13">
        <f>ROUNDUP(B29/30,0)</f>
        <v/>
      </c>
      <c r="F29" s="14">
        <f>ROUND(D29/3.5,1)</f>
        <v/>
      </c>
    </row>
    <row r="30">
      <c r="A30" s="11" t="n">
        <v>26</v>
      </c>
      <c r="B30" s="12">
        <f>ROUND(Config!$B$6*Config!$B$7^(26-1),0)</f>
        <v/>
      </c>
      <c r="C30" s="12">
        <f>C29+B29</f>
        <v/>
      </c>
      <c r="D30" s="13">
        <f>ROUNDUP(B30/15,0)</f>
        <v/>
      </c>
      <c r="E30" s="13">
        <f>ROUNDUP(B30/30,0)</f>
        <v/>
      </c>
      <c r="F30" s="14">
        <f>ROUND(D30/3.5,1)</f>
        <v/>
      </c>
    </row>
    <row r="31">
      <c r="A31" s="11" t="n">
        <v>27</v>
      </c>
      <c r="B31" s="12">
        <f>ROUND(Config!$B$6*Config!$B$7^(27-1),0)</f>
        <v/>
      </c>
      <c r="C31" s="12">
        <f>C30+B30</f>
        <v/>
      </c>
      <c r="D31" s="13">
        <f>ROUNDUP(B31/15,0)</f>
        <v/>
      </c>
      <c r="E31" s="13">
        <f>ROUNDUP(B31/30,0)</f>
        <v/>
      </c>
      <c r="F31" s="14">
        <f>ROUND(D31/3.5,1)</f>
        <v/>
      </c>
    </row>
    <row r="32">
      <c r="A32" s="11" t="n">
        <v>28</v>
      </c>
      <c r="B32" s="12">
        <f>ROUND(Config!$B$6*Config!$B$7^(28-1),0)</f>
        <v/>
      </c>
      <c r="C32" s="12">
        <f>C31+B31</f>
        <v/>
      </c>
      <c r="D32" s="13">
        <f>ROUNDUP(B32/15,0)</f>
        <v/>
      </c>
      <c r="E32" s="13">
        <f>ROUNDUP(B32/30,0)</f>
        <v/>
      </c>
      <c r="F32" s="14">
        <f>ROUND(D32/3.5,1)</f>
        <v/>
      </c>
    </row>
    <row r="33">
      <c r="A33" s="11" t="n">
        <v>29</v>
      </c>
      <c r="B33" s="12">
        <f>ROUND(Config!$B$6*Config!$B$7^(29-1),0)</f>
        <v/>
      </c>
      <c r="C33" s="12">
        <f>C32+B32</f>
        <v/>
      </c>
      <c r="D33" s="13">
        <f>ROUNDUP(B33/15,0)</f>
        <v/>
      </c>
      <c r="E33" s="13">
        <f>ROUNDUP(B33/30,0)</f>
        <v/>
      </c>
      <c r="F33" s="14">
        <f>ROUND(D33/3.5,1)</f>
        <v/>
      </c>
    </row>
    <row r="34">
      <c r="A34" s="11" t="n">
        <v>30</v>
      </c>
      <c r="B34" s="12">
        <f>ROUND(Config!$B$6*Config!$B$7^(30-1),0)</f>
        <v/>
      </c>
      <c r="C34" s="12">
        <f>C33+B33</f>
        <v/>
      </c>
      <c r="D34" s="13">
        <f>ROUNDUP(B34/15,0)</f>
        <v/>
      </c>
      <c r="E34" s="13">
        <f>ROUNDUP(B34/30,0)</f>
        <v/>
      </c>
      <c r="F34" s="14">
        <f>ROUND(D34/3.5,1)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PLAYER STAT GROWTH PER LEVEL</t>
        </is>
      </c>
    </row>
    <row r="2">
      <c r="A2" s="2" t="inlineStr">
        <is>
          <t>HandleLevelUp: her level N'de +healthIncreasePerLevel*N HP ve +damageIncreasePerLevel*N hasar. Level'le KATLANIR.</t>
        </is>
      </c>
    </row>
    <row r="3">
      <c r="A3" s="2" t="inlineStr">
        <is>
          <t>'Catch-up toplam' = ApplyCatchUpLevels: bu levele DOGRUDAN sicratilirsa (yeni run) toplam bonus.</t>
        </is>
      </c>
    </row>
    <row r="5">
      <c r="A5" s="10" t="inlineStr">
        <is>
          <t>Level</t>
        </is>
      </c>
      <c r="B5" s="10" t="inlineStr">
        <is>
          <t>HP gain THIS level</t>
        </is>
      </c>
      <c r="C5" s="10" t="inlineStr">
        <is>
          <t>Max HP (cumulative)</t>
        </is>
      </c>
      <c r="D5" s="10" t="inlineStr">
        <is>
          <t>x base HP</t>
        </is>
      </c>
      <c r="E5" s="10" t="inlineStr">
        <is>
          <t>DMG gain THIS level</t>
        </is>
      </c>
      <c r="F5" s="10" t="inlineStr">
        <is>
          <t>Damage (cumulative)</t>
        </is>
      </c>
      <c r="G5" s="10" t="inlineStr">
        <is>
          <t>x base DMG</t>
        </is>
      </c>
    </row>
    <row r="6">
      <c r="A6" s="11" t="n">
        <v>1</v>
      </c>
      <c r="B6" s="12" t="n">
        <v>0</v>
      </c>
      <c r="C6" s="12">
        <f>Config!$B$10</f>
        <v/>
      </c>
      <c r="D6" s="15">
        <f>C6/Config!$B$10</f>
        <v/>
      </c>
      <c r="E6" s="16" t="n">
        <v>0</v>
      </c>
      <c r="F6" s="16">
        <f>Config!$B$11</f>
        <v/>
      </c>
      <c r="G6" s="15">
        <f>F6/Config!$B$11</f>
        <v/>
      </c>
    </row>
    <row r="7">
      <c r="A7" s="11" t="n">
        <v>2</v>
      </c>
      <c r="B7" s="12">
        <f>Config!$B$17*2</f>
        <v/>
      </c>
      <c r="C7" s="12">
        <f>C6+B7</f>
        <v/>
      </c>
      <c r="D7" s="15">
        <f>C7/Config!$B$10</f>
        <v/>
      </c>
      <c r="E7" s="16">
        <f>Config!$B$18*2</f>
        <v/>
      </c>
      <c r="F7" s="16">
        <f>F6+E7</f>
        <v/>
      </c>
      <c r="G7" s="15">
        <f>F7/Config!$B$11</f>
        <v/>
      </c>
    </row>
    <row r="8">
      <c r="A8" s="11" t="n">
        <v>3</v>
      </c>
      <c r="B8" s="12">
        <f>Config!$B$17*3</f>
        <v/>
      </c>
      <c r="C8" s="12">
        <f>C7+B8</f>
        <v/>
      </c>
      <c r="D8" s="15">
        <f>C8/Config!$B$10</f>
        <v/>
      </c>
      <c r="E8" s="16">
        <f>Config!$B$18*3</f>
        <v/>
      </c>
      <c r="F8" s="16">
        <f>F7+E8</f>
        <v/>
      </c>
      <c r="G8" s="15">
        <f>F8/Config!$B$11</f>
        <v/>
      </c>
    </row>
    <row r="9">
      <c r="A9" s="11" t="n">
        <v>4</v>
      </c>
      <c r="B9" s="12">
        <f>Config!$B$17*4</f>
        <v/>
      </c>
      <c r="C9" s="12">
        <f>C8+B9</f>
        <v/>
      </c>
      <c r="D9" s="15">
        <f>C9/Config!$B$10</f>
        <v/>
      </c>
      <c r="E9" s="16">
        <f>Config!$B$18*4</f>
        <v/>
      </c>
      <c r="F9" s="16">
        <f>F8+E9</f>
        <v/>
      </c>
      <c r="G9" s="15">
        <f>F9/Config!$B$11</f>
        <v/>
      </c>
    </row>
    <row r="10">
      <c r="A10" s="11" t="n">
        <v>5</v>
      </c>
      <c r="B10" s="12">
        <f>Config!$B$17*5</f>
        <v/>
      </c>
      <c r="C10" s="12">
        <f>C9+B10</f>
        <v/>
      </c>
      <c r="D10" s="15">
        <f>C10/Config!$B$10</f>
        <v/>
      </c>
      <c r="E10" s="16">
        <f>Config!$B$18*5</f>
        <v/>
      </c>
      <c r="F10" s="16">
        <f>F9+E10</f>
        <v/>
      </c>
      <c r="G10" s="15">
        <f>F10/Config!$B$11</f>
        <v/>
      </c>
    </row>
    <row r="11">
      <c r="A11" s="11" t="n">
        <v>6</v>
      </c>
      <c r="B11" s="12">
        <f>Config!$B$17*6</f>
        <v/>
      </c>
      <c r="C11" s="12">
        <f>C10+B11</f>
        <v/>
      </c>
      <c r="D11" s="15">
        <f>C11/Config!$B$10</f>
        <v/>
      </c>
      <c r="E11" s="16">
        <f>Config!$B$18*6</f>
        <v/>
      </c>
      <c r="F11" s="16">
        <f>F10+E11</f>
        <v/>
      </c>
      <c r="G11" s="15">
        <f>F11/Config!$B$11</f>
        <v/>
      </c>
    </row>
    <row r="12">
      <c r="A12" s="11" t="n">
        <v>7</v>
      </c>
      <c r="B12" s="12">
        <f>Config!$B$17*7</f>
        <v/>
      </c>
      <c r="C12" s="12">
        <f>C11+B12</f>
        <v/>
      </c>
      <c r="D12" s="15">
        <f>C12/Config!$B$10</f>
        <v/>
      </c>
      <c r="E12" s="16">
        <f>Config!$B$18*7</f>
        <v/>
      </c>
      <c r="F12" s="16">
        <f>F11+E12</f>
        <v/>
      </c>
      <c r="G12" s="15">
        <f>F12/Config!$B$11</f>
        <v/>
      </c>
    </row>
    <row r="13">
      <c r="A13" s="11" t="n">
        <v>8</v>
      </c>
      <c r="B13" s="12">
        <f>Config!$B$17*8</f>
        <v/>
      </c>
      <c r="C13" s="12">
        <f>C12+B13</f>
        <v/>
      </c>
      <c r="D13" s="15">
        <f>C13/Config!$B$10</f>
        <v/>
      </c>
      <c r="E13" s="16">
        <f>Config!$B$18*8</f>
        <v/>
      </c>
      <c r="F13" s="16">
        <f>F12+E13</f>
        <v/>
      </c>
      <c r="G13" s="15">
        <f>F13/Config!$B$11</f>
        <v/>
      </c>
    </row>
    <row r="14">
      <c r="A14" s="11" t="n">
        <v>9</v>
      </c>
      <c r="B14" s="12">
        <f>Config!$B$17*9</f>
        <v/>
      </c>
      <c r="C14" s="12">
        <f>C13+B14</f>
        <v/>
      </c>
      <c r="D14" s="15">
        <f>C14/Config!$B$10</f>
        <v/>
      </c>
      <c r="E14" s="16">
        <f>Config!$B$18*9</f>
        <v/>
      </c>
      <c r="F14" s="16">
        <f>F13+E14</f>
        <v/>
      </c>
      <c r="G14" s="15">
        <f>F14/Config!$B$11</f>
        <v/>
      </c>
    </row>
    <row r="15">
      <c r="A15" s="11" t="n">
        <v>10</v>
      </c>
      <c r="B15" s="12">
        <f>Config!$B$17*10</f>
        <v/>
      </c>
      <c r="C15" s="12">
        <f>C14+B15</f>
        <v/>
      </c>
      <c r="D15" s="15">
        <f>C15/Config!$B$10</f>
        <v/>
      </c>
      <c r="E15" s="16">
        <f>Config!$B$18*10</f>
        <v/>
      </c>
      <c r="F15" s="16">
        <f>F14+E15</f>
        <v/>
      </c>
      <c r="G15" s="15">
        <f>F15/Config!$B$11</f>
        <v/>
      </c>
    </row>
    <row r="16">
      <c r="A16" s="11" t="n">
        <v>11</v>
      </c>
      <c r="B16" s="12">
        <f>Config!$B$17*11</f>
        <v/>
      </c>
      <c r="C16" s="12">
        <f>C15+B16</f>
        <v/>
      </c>
      <c r="D16" s="15">
        <f>C16/Config!$B$10</f>
        <v/>
      </c>
      <c r="E16" s="16">
        <f>Config!$B$18*11</f>
        <v/>
      </c>
      <c r="F16" s="16">
        <f>F15+E16</f>
        <v/>
      </c>
      <c r="G16" s="15">
        <f>F16/Config!$B$11</f>
        <v/>
      </c>
    </row>
    <row r="17">
      <c r="A17" s="11" t="n">
        <v>12</v>
      </c>
      <c r="B17" s="12">
        <f>Config!$B$17*12</f>
        <v/>
      </c>
      <c r="C17" s="12">
        <f>C16+B17</f>
        <v/>
      </c>
      <c r="D17" s="15">
        <f>C17/Config!$B$10</f>
        <v/>
      </c>
      <c r="E17" s="16">
        <f>Config!$B$18*12</f>
        <v/>
      </c>
      <c r="F17" s="16">
        <f>F16+E17</f>
        <v/>
      </c>
      <c r="G17" s="15">
        <f>F17/Config!$B$11</f>
        <v/>
      </c>
    </row>
    <row r="18">
      <c r="A18" s="11" t="n">
        <v>13</v>
      </c>
      <c r="B18" s="12">
        <f>Config!$B$17*13</f>
        <v/>
      </c>
      <c r="C18" s="12">
        <f>C17+B18</f>
        <v/>
      </c>
      <c r="D18" s="15">
        <f>C18/Config!$B$10</f>
        <v/>
      </c>
      <c r="E18" s="16">
        <f>Config!$B$18*13</f>
        <v/>
      </c>
      <c r="F18" s="16">
        <f>F17+E18</f>
        <v/>
      </c>
      <c r="G18" s="15">
        <f>F18/Config!$B$11</f>
        <v/>
      </c>
    </row>
    <row r="19">
      <c r="A19" s="11" t="n">
        <v>14</v>
      </c>
      <c r="B19" s="12">
        <f>Config!$B$17*14</f>
        <v/>
      </c>
      <c r="C19" s="12">
        <f>C18+B19</f>
        <v/>
      </c>
      <c r="D19" s="15">
        <f>C19/Config!$B$10</f>
        <v/>
      </c>
      <c r="E19" s="16">
        <f>Config!$B$18*14</f>
        <v/>
      </c>
      <c r="F19" s="16">
        <f>F18+E19</f>
        <v/>
      </c>
      <c r="G19" s="15">
        <f>F19/Config!$B$11</f>
        <v/>
      </c>
    </row>
    <row r="20">
      <c r="A20" s="11" t="n">
        <v>15</v>
      </c>
      <c r="B20" s="12">
        <f>Config!$B$17*15</f>
        <v/>
      </c>
      <c r="C20" s="12">
        <f>C19+B20</f>
        <v/>
      </c>
      <c r="D20" s="15">
        <f>C20/Config!$B$10</f>
        <v/>
      </c>
      <c r="E20" s="16">
        <f>Config!$B$18*15</f>
        <v/>
      </c>
      <c r="F20" s="16">
        <f>F19+E20</f>
        <v/>
      </c>
      <c r="G20" s="15">
        <f>F20/Config!$B$11</f>
        <v/>
      </c>
    </row>
    <row r="21">
      <c r="A21" s="11" t="n">
        <v>16</v>
      </c>
      <c r="B21" s="12">
        <f>Config!$B$17*16</f>
        <v/>
      </c>
      <c r="C21" s="12">
        <f>C20+B21</f>
        <v/>
      </c>
      <c r="D21" s="15">
        <f>C21/Config!$B$10</f>
        <v/>
      </c>
      <c r="E21" s="16">
        <f>Config!$B$18*16</f>
        <v/>
      </c>
      <c r="F21" s="16">
        <f>F20+E21</f>
        <v/>
      </c>
      <c r="G21" s="15">
        <f>F21/Config!$B$11</f>
        <v/>
      </c>
    </row>
    <row r="22">
      <c r="A22" s="11" t="n">
        <v>17</v>
      </c>
      <c r="B22" s="12">
        <f>Config!$B$17*17</f>
        <v/>
      </c>
      <c r="C22" s="12">
        <f>C21+B22</f>
        <v/>
      </c>
      <c r="D22" s="15">
        <f>C22/Config!$B$10</f>
        <v/>
      </c>
      <c r="E22" s="16">
        <f>Config!$B$18*17</f>
        <v/>
      </c>
      <c r="F22" s="16">
        <f>F21+E22</f>
        <v/>
      </c>
      <c r="G22" s="15">
        <f>F22/Config!$B$11</f>
        <v/>
      </c>
    </row>
    <row r="23">
      <c r="A23" s="11" t="n">
        <v>18</v>
      </c>
      <c r="B23" s="12">
        <f>Config!$B$17*18</f>
        <v/>
      </c>
      <c r="C23" s="12">
        <f>C22+B23</f>
        <v/>
      </c>
      <c r="D23" s="15">
        <f>C23/Config!$B$10</f>
        <v/>
      </c>
      <c r="E23" s="16">
        <f>Config!$B$18*18</f>
        <v/>
      </c>
      <c r="F23" s="16">
        <f>F22+E23</f>
        <v/>
      </c>
      <c r="G23" s="15">
        <f>F23/Config!$B$11</f>
        <v/>
      </c>
    </row>
    <row r="24">
      <c r="A24" s="11" t="n">
        <v>19</v>
      </c>
      <c r="B24" s="12">
        <f>Config!$B$17*19</f>
        <v/>
      </c>
      <c r="C24" s="12">
        <f>C23+B24</f>
        <v/>
      </c>
      <c r="D24" s="15">
        <f>C24/Config!$B$10</f>
        <v/>
      </c>
      <c r="E24" s="16">
        <f>Config!$B$18*19</f>
        <v/>
      </c>
      <c r="F24" s="16">
        <f>F23+E24</f>
        <v/>
      </c>
      <c r="G24" s="15">
        <f>F24/Config!$B$11</f>
        <v/>
      </c>
    </row>
    <row r="25">
      <c r="A25" s="11" t="n">
        <v>20</v>
      </c>
      <c r="B25" s="12">
        <f>Config!$B$17*20</f>
        <v/>
      </c>
      <c r="C25" s="12">
        <f>C24+B25</f>
        <v/>
      </c>
      <c r="D25" s="15">
        <f>C25/Config!$B$10</f>
        <v/>
      </c>
      <c r="E25" s="16">
        <f>Config!$B$18*20</f>
        <v/>
      </c>
      <c r="F25" s="16">
        <f>F24+E25</f>
        <v/>
      </c>
      <c r="G25" s="15">
        <f>F25/Config!$B$11</f>
        <v/>
      </c>
    </row>
    <row r="26">
      <c r="A26" s="11" t="n">
        <v>21</v>
      </c>
      <c r="B26" s="12">
        <f>Config!$B$17*21</f>
        <v/>
      </c>
      <c r="C26" s="12">
        <f>C25+B26</f>
        <v/>
      </c>
      <c r="D26" s="15">
        <f>C26/Config!$B$10</f>
        <v/>
      </c>
      <c r="E26" s="16">
        <f>Config!$B$18*21</f>
        <v/>
      </c>
      <c r="F26" s="16">
        <f>F25+E26</f>
        <v/>
      </c>
      <c r="G26" s="15">
        <f>F26/Config!$B$11</f>
        <v/>
      </c>
    </row>
    <row r="27">
      <c r="A27" s="11" t="n">
        <v>22</v>
      </c>
      <c r="B27" s="12">
        <f>Config!$B$17*22</f>
        <v/>
      </c>
      <c r="C27" s="12">
        <f>C26+B27</f>
        <v/>
      </c>
      <c r="D27" s="15">
        <f>C27/Config!$B$10</f>
        <v/>
      </c>
      <c r="E27" s="16">
        <f>Config!$B$18*22</f>
        <v/>
      </c>
      <c r="F27" s="16">
        <f>F26+E27</f>
        <v/>
      </c>
      <c r="G27" s="15">
        <f>F27/Config!$B$11</f>
        <v/>
      </c>
    </row>
    <row r="28">
      <c r="A28" s="11" t="n">
        <v>23</v>
      </c>
      <c r="B28" s="12">
        <f>Config!$B$17*23</f>
        <v/>
      </c>
      <c r="C28" s="12">
        <f>C27+B28</f>
        <v/>
      </c>
      <c r="D28" s="15">
        <f>C28/Config!$B$10</f>
        <v/>
      </c>
      <c r="E28" s="16">
        <f>Config!$B$18*23</f>
        <v/>
      </c>
      <c r="F28" s="16">
        <f>F27+E28</f>
        <v/>
      </c>
      <c r="G28" s="15">
        <f>F28/Config!$B$11</f>
        <v/>
      </c>
    </row>
    <row r="29">
      <c r="A29" s="11" t="n">
        <v>24</v>
      </c>
      <c r="B29" s="12">
        <f>Config!$B$17*24</f>
        <v/>
      </c>
      <c r="C29" s="12">
        <f>C28+B29</f>
        <v/>
      </c>
      <c r="D29" s="15">
        <f>C29/Config!$B$10</f>
        <v/>
      </c>
      <c r="E29" s="16">
        <f>Config!$B$18*24</f>
        <v/>
      </c>
      <c r="F29" s="16">
        <f>F28+E29</f>
        <v/>
      </c>
      <c r="G29" s="15">
        <f>F29/Config!$B$11</f>
        <v/>
      </c>
    </row>
    <row r="30">
      <c r="A30" s="11" t="n">
        <v>25</v>
      </c>
      <c r="B30" s="12">
        <f>Config!$B$17*25</f>
        <v/>
      </c>
      <c r="C30" s="12">
        <f>C29+B30</f>
        <v/>
      </c>
      <c r="D30" s="15">
        <f>C30/Config!$B$10</f>
        <v/>
      </c>
      <c r="E30" s="16">
        <f>Config!$B$18*25</f>
        <v/>
      </c>
      <c r="F30" s="16">
        <f>F29+E30</f>
        <v/>
      </c>
      <c r="G30" s="15">
        <f>F30/Config!$B$11</f>
        <v/>
      </c>
    </row>
    <row r="31">
      <c r="A31" s="11" t="n">
        <v>26</v>
      </c>
      <c r="B31" s="12">
        <f>Config!$B$17*26</f>
        <v/>
      </c>
      <c r="C31" s="12">
        <f>C30+B31</f>
        <v/>
      </c>
      <c r="D31" s="15">
        <f>C31/Config!$B$10</f>
        <v/>
      </c>
      <c r="E31" s="16">
        <f>Config!$B$18*26</f>
        <v/>
      </c>
      <c r="F31" s="16">
        <f>F30+E31</f>
        <v/>
      </c>
      <c r="G31" s="15">
        <f>F31/Config!$B$11</f>
        <v/>
      </c>
    </row>
    <row r="32">
      <c r="A32" s="11" t="n">
        <v>27</v>
      </c>
      <c r="B32" s="12">
        <f>Config!$B$17*27</f>
        <v/>
      </c>
      <c r="C32" s="12">
        <f>C31+B32</f>
        <v/>
      </c>
      <c r="D32" s="15">
        <f>C32/Config!$B$10</f>
        <v/>
      </c>
      <c r="E32" s="16">
        <f>Config!$B$18*27</f>
        <v/>
      </c>
      <c r="F32" s="16">
        <f>F31+E32</f>
        <v/>
      </c>
      <c r="G32" s="15">
        <f>F32/Config!$B$11</f>
        <v/>
      </c>
    </row>
    <row r="33">
      <c r="A33" s="11" t="n">
        <v>28</v>
      </c>
      <c r="B33" s="12">
        <f>Config!$B$17*28</f>
        <v/>
      </c>
      <c r="C33" s="12">
        <f>C32+B33</f>
        <v/>
      </c>
      <c r="D33" s="15">
        <f>C33/Config!$B$10</f>
        <v/>
      </c>
      <c r="E33" s="16">
        <f>Config!$B$18*28</f>
        <v/>
      </c>
      <c r="F33" s="16">
        <f>F32+E33</f>
        <v/>
      </c>
      <c r="G33" s="15">
        <f>F33/Config!$B$11</f>
        <v/>
      </c>
    </row>
    <row r="34">
      <c r="A34" s="11" t="n">
        <v>29</v>
      </c>
      <c r="B34" s="12">
        <f>Config!$B$17*29</f>
        <v/>
      </c>
      <c r="C34" s="12">
        <f>C33+B34</f>
        <v/>
      </c>
      <c r="D34" s="15">
        <f>C34/Config!$B$10</f>
        <v/>
      </c>
      <c r="E34" s="16">
        <f>Config!$B$18*29</f>
        <v/>
      </c>
      <c r="F34" s="16">
        <f>F33+E34</f>
        <v/>
      </c>
      <c r="G34" s="15">
        <f>F34/Config!$B$11</f>
        <v/>
      </c>
    </row>
    <row r="35">
      <c r="A35" s="11" t="n">
        <v>30</v>
      </c>
      <c r="B35" s="12">
        <f>Config!$B$17*30</f>
        <v/>
      </c>
      <c r="C35" s="12">
        <f>C34+B35</f>
        <v/>
      </c>
      <c r="D35" s="15">
        <f>C35/Config!$B$10</f>
        <v/>
      </c>
      <c r="E35" s="16">
        <f>Config!$B$18*30</f>
        <v/>
      </c>
      <c r="F35" s="16">
        <f>F34+E35</f>
        <v/>
      </c>
      <c r="G35" s="15">
        <f>F35/Config!$B$11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ENEMY TYPES</t>
        </is>
      </c>
    </row>
    <row r="2">
      <c r="A2" s="2" t="inlineStr">
        <is>
          <t>!! ONEMLI: Enemy CAN'i EnemyDataSO'dan DEGIL, prefabin kendi SCharacterStats'indan geliyor - ve DALGAYLA HIC OLCEKLENMIYOR (ScaleHealth() kodda hic cagrilmiyor). Sadece Melee-hasar ve XP dalgayla buyur.</t>
        </is>
      </c>
    </row>
    <row r="4">
      <c r="A4" s="10" t="inlineStr">
        <is>
          <t>Stat (EnemyDataSO alani)</t>
        </is>
      </c>
      <c r="B4" s="10" t="inlineStr">
        <is>
          <t>BasicEnemy</t>
        </is>
      </c>
      <c r="C4" s="10" t="inlineStr">
        <is>
          <t>BomberSkeleton</t>
        </is>
      </c>
      <c r="D4" s="10" t="inlineStr">
        <is>
          <t>Aciklama</t>
        </is>
      </c>
    </row>
    <row r="5">
      <c r="A5" s="17" t="inlineStr">
        <is>
          <t>BaseHealth</t>
        </is>
      </c>
      <c r="B5" s="18" t="n">
        <v>100</v>
      </c>
      <c r="C5" s="18" t="n">
        <v>160</v>
      </c>
      <c r="D5" s="8" t="inlineStr">
        <is>
          <t>Taban can (dalga 1). EnemyAI bunu HealthScalePerWave ile carpar.</t>
        </is>
      </c>
    </row>
    <row r="6">
      <c r="A6" s="17" t="inlineStr">
        <is>
          <t>HealthScalePerWave</t>
        </is>
      </c>
      <c r="B6" s="18" t="n">
        <v>1.07</v>
      </c>
      <c r="C6" s="18" t="n">
        <v>1.07</v>
      </c>
      <c r="D6" s="8" t="inlineStr">
        <is>
          <t>Can carpani / dalga. w15 ~2.6x, w30 ~7.6x.</t>
        </is>
      </c>
    </row>
    <row r="7">
      <c r="A7" s="17" t="inlineStr">
        <is>
          <t>BaseSpeed</t>
        </is>
      </c>
      <c r="B7" s="18" t="n">
        <v>3.5</v>
      </c>
      <c r="C7" s="18" t="n">
        <v>1</v>
      </c>
      <c r="D7" s="8" t="inlineStr">
        <is>
          <t>NavMeshAgent hizi. Bomber cok yavas (tank).</t>
        </is>
      </c>
    </row>
    <row r="8">
      <c r="A8" s="17" t="inlineStr">
        <is>
          <t>BaseDamage</t>
        </is>
      </c>
      <c r="B8" s="18" t="n">
        <v>8</v>
      </c>
      <c r="C8" s="18" t="n">
        <v>10</v>
      </c>
      <c r="D8" s="8" t="inlineStr">
        <is>
          <t>Melee taban hasar (dalga 1)</t>
        </is>
      </c>
    </row>
    <row r="9">
      <c r="A9" s="17" t="inlineStr">
        <is>
          <t>DamageScalePerWave</t>
        </is>
      </c>
      <c r="B9" s="18" t="n">
        <v>1.06</v>
      </c>
      <c r="C9" s="18" t="n">
        <v>1.06</v>
      </c>
      <c r="D9" s="8" t="inlineStr">
        <is>
          <t>Melee hasar carpani / dalga</t>
        </is>
      </c>
    </row>
    <row r="10">
      <c r="A10" s="17" t="inlineStr">
        <is>
          <t>BaseXP</t>
        </is>
      </c>
      <c r="B10" s="18" t="n">
        <v>15</v>
      </c>
      <c r="C10" s="18" t="n">
        <v>30</v>
      </c>
      <c r="D10" s="8" t="inlineStr">
        <is>
          <t>Oldurulunce verilen XP (dalga 1). Bomber 2x.</t>
        </is>
      </c>
    </row>
    <row r="11">
      <c r="A11" s="17" t="inlineStr">
        <is>
          <t>XPScalePerWave</t>
        </is>
      </c>
      <c r="B11" s="18" t="n">
        <v>1.05</v>
      </c>
      <c r="C11" s="18" t="n">
        <v>1.05</v>
      </c>
      <c r="D11" s="8" t="inlineStr">
        <is>
          <t>XP carpani / dalga</t>
        </is>
      </c>
    </row>
    <row r="12">
      <c r="A12" s="17" t="inlineStr">
        <is>
          <t>AttackRange</t>
        </is>
      </c>
      <c r="B12" s="18" t="n">
        <v>1.5</v>
      </c>
      <c r="C12" s="18" t="n">
        <v>1.5</v>
      </c>
      <c r="D12" s="8" t="inlineStr">
        <is>
          <t>Menzil</t>
        </is>
      </c>
    </row>
    <row r="13">
      <c r="A13" s="17" t="inlineStr">
        <is>
          <t>AttackCooldown</t>
        </is>
      </c>
      <c r="B13" s="18" t="n">
        <v>1.2</v>
      </c>
      <c r="C13" s="18" t="n">
        <v>1.2</v>
      </c>
      <c r="D13" s="8" t="inlineStr">
        <is>
          <t>Saldiri araligi (sn)</t>
        </is>
      </c>
    </row>
    <row r="14">
      <c r="A14" s="17" t="inlineStr">
        <is>
          <t>MinWave</t>
        </is>
      </c>
      <c r="B14" s="18" t="n">
        <v>1</v>
      </c>
      <c r="C14" s="18" t="n">
        <v>1</v>
      </c>
      <c r="D14" s="8" t="inlineStr">
        <is>
          <t>Havuza girdigi dalga</t>
        </is>
      </c>
    </row>
    <row r="15">
      <c r="A15" s="17" t="inlineStr">
        <is>
          <t>MinPlayerLevel</t>
        </is>
      </c>
      <c r="B15" s="18" t="n">
        <v>1</v>
      </c>
      <c r="C15" s="18" t="n">
        <v>4</v>
      </c>
      <c r="D15" s="8" t="inlineStr">
        <is>
          <t>Bomber sadece oyuncu XP Lv &gt;= 4 iken cikar</t>
        </is>
      </c>
    </row>
    <row r="16">
      <c r="A16" s="17" t="inlineStr">
        <is>
          <t>SpawnWeight</t>
        </is>
      </c>
      <c r="B16" s="18" t="n">
        <v>1</v>
      </c>
      <c r="C16" s="18" t="n">
        <v>0.3</v>
      </c>
      <c r="D16" s="8" t="inlineStr">
        <is>
          <t>Secilme agirligi. Bomber ~%23</t>
        </is>
      </c>
    </row>
    <row r="17">
      <c r="A17" s="17" t="inlineStr">
        <is>
          <t>MaxAlive</t>
        </is>
      </c>
      <c r="B17" s="18" t="n">
        <v>0</v>
      </c>
      <c r="C17" s="18" t="n">
        <v>2</v>
      </c>
      <c r="D17" s="8" t="inlineStr">
        <is>
          <t>Ayni anda max canli (0 = sinirsiz)</t>
        </is>
      </c>
    </row>
    <row r="18">
      <c r="A18" s="17" t="inlineStr">
        <is>
          <t>ScoreValue</t>
        </is>
      </c>
      <c r="B18" s="18" t="n">
        <v>10</v>
      </c>
      <c r="C18" s="18" t="n">
        <v>20</v>
      </c>
      <c r="D18" s="8" t="inlineStr">
        <is>
          <t>Skor</t>
        </is>
      </c>
    </row>
    <row r="19">
      <c r="A19" s="17" t="inlineStr">
        <is>
          <t>ExplodesOnDeath</t>
        </is>
      </c>
      <c r="B19" s="18" t="n">
        <v>0</v>
      </c>
      <c r="C19" s="18" t="n">
        <v>1</v>
      </c>
      <c r="D19" s="8" t="inlineStr">
        <is>
          <t>1 = olunce patlar</t>
        </is>
      </c>
    </row>
    <row r="20">
      <c r="A20" s="17" t="inlineStr">
        <is>
          <t>ExplosionRadius</t>
        </is>
      </c>
      <c r="B20" s="18" t="n">
        <v>3</v>
      </c>
      <c r="C20" s="18" t="n">
        <v>3.5</v>
      </c>
      <c r="D20" s="8" t="inlineStr">
        <is>
          <t>Patlama yaricapi</t>
        </is>
      </c>
    </row>
    <row r="21">
      <c r="A21" s="17" t="inlineStr">
        <is>
          <t>ExplosionDamage</t>
        </is>
      </c>
      <c r="B21" s="18" t="n">
        <v>25</v>
      </c>
      <c r="C21" s="18" t="n">
        <v>30</v>
      </c>
      <c r="D21" s="8" t="inlineStr">
        <is>
          <t>Patlama hasari</t>
        </is>
      </c>
    </row>
    <row r="22">
      <c r="A22" s="17" t="inlineStr">
        <is>
          <t>DeathFreezeDuration</t>
        </is>
      </c>
      <c r="B22" s="18" t="n">
        <v>0.7</v>
      </c>
      <c r="C22" s="18" t="n">
        <v>0.35</v>
      </c>
      <c r="D22" s="8" t="inlineStr">
        <is>
          <t>Olum aninda kisa donma</t>
        </is>
      </c>
    </row>
    <row r="24">
      <c r="A24" s="4" t="inlineStr">
        <is>
          <t>DALGAYLA OLCEKLENEN DEGERLER</t>
        </is>
      </c>
      <c r="B24" s="5" t="inlineStr"/>
      <c r="C24" s="5" t="inlineStr"/>
      <c r="D24" s="5" t="inlineStr"/>
      <c r="E24" s="5" t="inlineStr"/>
      <c r="F24" s="5" t="inlineStr"/>
      <c r="G24" s="5" t="inlineStr"/>
    </row>
    <row r="25">
      <c r="A25" s="10" t="inlineStr">
        <is>
          <t>Wave</t>
        </is>
      </c>
      <c r="B25" s="10" t="inlineStr">
        <is>
          <t>Basic HP</t>
        </is>
      </c>
      <c r="C25" s="10" t="inlineStr">
        <is>
          <t>Basic DMG</t>
        </is>
      </c>
      <c r="D25" s="10" t="inlineStr">
        <is>
          <t>Basic XP</t>
        </is>
      </c>
      <c r="E25" s="10" t="inlineStr">
        <is>
          <t>Bomber HP</t>
        </is>
      </c>
      <c r="F25" s="10" t="inlineStr">
        <is>
          <t>Bomber DMG</t>
        </is>
      </c>
      <c r="G25" s="10" t="inlineStr">
        <is>
          <t>Bomber XP</t>
        </is>
      </c>
    </row>
    <row r="26">
      <c r="A26" s="11" t="n">
        <v>1</v>
      </c>
      <c r="B26" s="12">
        <f>ROUND(Enemies!$B$5*Enemies!$B$6^(1-1),0)</f>
        <v/>
      </c>
      <c r="C26" s="16">
        <f>ROUND(Enemies!$B$8*Enemies!$B$9^(1-1),1)</f>
        <v/>
      </c>
      <c r="D26" s="12">
        <f>ROUND(Enemies!$B$10*Enemies!$B$11^(1-1),0)</f>
        <v/>
      </c>
      <c r="E26" s="12">
        <f>ROUND(Enemies!$C$5*Enemies!$C$6^(1-1),0)</f>
        <v/>
      </c>
      <c r="F26" s="16">
        <f>ROUND(Enemies!$C$8*Enemies!$C$9^(1-1),1)</f>
        <v/>
      </c>
      <c r="G26" s="12">
        <f>ROUND(Enemies!$C$10*Enemies!$C$11^(1-1),0)</f>
        <v/>
      </c>
    </row>
    <row r="27">
      <c r="A27" s="11" t="n">
        <v>5</v>
      </c>
      <c r="B27" s="12">
        <f>ROUND(Enemies!$B$5*Enemies!$B$6^(5-1),0)</f>
        <v/>
      </c>
      <c r="C27" s="16">
        <f>ROUND(Enemies!$B$8*Enemies!$B$9^(5-1),1)</f>
        <v/>
      </c>
      <c r="D27" s="12">
        <f>ROUND(Enemies!$B$10*Enemies!$B$11^(5-1),0)</f>
        <v/>
      </c>
      <c r="E27" s="12">
        <f>ROUND(Enemies!$C$5*Enemies!$C$6^(5-1),0)</f>
        <v/>
      </c>
      <c r="F27" s="16">
        <f>ROUND(Enemies!$C$8*Enemies!$C$9^(5-1),1)</f>
        <v/>
      </c>
      <c r="G27" s="12">
        <f>ROUND(Enemies!$C$10*Enemies!$C$11^(5-1),0)</f>
        <v/>
      </c>
    </row>
    <row r="28">
      <c r="A28" s="11" t="n">
        <v>10</v>
      </c>
      <c r="B28" s="12">
        <f>ROUND(Enemies!$B$5*Enemies!$B$6^(10-1),0)</f>
        <v/>
      </c>
      <c r="C28" s="16">
        <f>ROUND(Enemies!$B$8*Enemies!$B$9^(10-1),1)</f>
        <v/>
      </c>
      <c r="D28" s="12">
        <f>ROUND(Enemies!$B$10*Enemies!$B$11^(10-1),0)</f>
        <v/>
      </c>
      <c r="E28" s="12">
        <f>ROUND(Enemies!$C$5*Enemies!$C$6^(10-1),0)</f>
        <v/>
      </c>
      <c r="F28" s="16">
        <f>ROUND(Enemies!$C$8*Enemies!$C$9^(10-1),1)</f>
        <v/>
      </c>
      <c r="G28" s="12">
        <f>ROUND(Enemies!$C$10*Enemies!$C$11^(10-1),0)</f>
        <v/>
      </c>
    </row>
    <row r="29">
      <c r="A29" s="11" t="n">
        <v>15</v>
      </c>
      <c r="B29" s="12">
        <f>ROUND(Enemies!$B$5*Enemies!$B$6^(15-1),0)</f>
        <v/>
      </c>
      <c r="C29" s="16">
        <f>ROUND(Enemies!$B$8*Enemies!$B$9^(15-1),1)</f>
        <v/>
      </c>
      <c r="D29" s="12">
        <f>ROUND(Enemies!$B$10*Enemies!$B$11^(15-1),0)</f>
        <v/>
      </c>
      <c r="E29" s="12">
        <f>ROUND(Enemies!$C$5*Enemies!$C$6^(15-1),0)</f>
        <v/>
      </c>
      <c r="F29" s="16">
        <f>ROUND(Enemies!$C$8*Enemies!$C$9^(15-1),1)</f>
        <v/>
      </c>
      <c r="G29" s="12">
        <f>ROUND(Enemies!$C$10*Enemies!$C$11^(15-1),0)</f>
        <v/>
      </c>
    </row>
    <row r="30">
      <c r="A30" s="11" t="n">
        <v>20</v>
      </c>
      <c r="B30" s="12">
        <f>ROUND(Enemies!$B$5*Enemies!$B$6^(20-1),0)</f>
        <v/>
      </c>
      <c r="C30" s="16">
        <f>ROUND(Enemies!$B$8*Enemies!$B$9^(20-1),1)</f>
        <v/>
      </c>
      <c r="D30" s="12">
        <f>ROUND(Enemies!$B$10*Enemies!$B$11^(20-1),0)</f>
        <v/>
      </c>
      <c r="E30" s="12">
        <f>ROUND(Enemies!$C$5*Enemies!$C$6^(20-1),0)</f>
        <v/>
      </c>
      <c r="F30" s="16">
        <f>ROUND(Enemies!$C$8*Enemies!$C$9^(20-1),1)</f>
        <v/>
      </c>
      <c r="G30" s="12">
        <f>ROUND(Enemies!$C$10*Enemies!$C$11^(20-1),0)</f>
        <v/>
      </c>
    </row>
    <row r="31">
      <c r="A31" s="11" t="n">
        <v>25</v>
      </c>
      <c r="B31" s="12">
        <f>ROUND(Enemies!$B$5*Enemies!$B$6^(25-1),0)</f>
        <v/>
      </c>
      <c r="C31" s="16">
        <f>ROUND(Enemies!$B$8*Enemies!$B$9^(25-1),1)</f>
        <v/>
      </c>
      <c r="D31" s="12">
        <f>ROUND(Enemies!$B$10*Enemies!$B$11^(25-1),0)</f>
        <v/>
      </c>
      <c r="E31" s="12">
        <f>ROUND(Enemies!$C$5*Enemies!$C$6^(25-1),0)</f>
        <v/>
      </c>
      <c r="F31" s="16">
        <f>ROUND(Enemies!$C$8*Enemies!$C$9^(25-1),1)</f>
        <v/>
      </c>
      <c r="G31" s="12">
        <f>ROUND(Enemies!$C$10*Enemies!$C$11^(25-1),0)</f>
        <v/>
      </c>
    </row>
    <row r="32">
      <c r="A32" s="11" t="n">
        <v>30</v>
      </c>
      <c r="B32" s="12">
        <f>ROUND(Enemies!$B$5*Enemies!$B$6^(30-1),0)</f>
        <v/>
      </c>
      <c r="C32" s="16">
        <f>ROUND(Enemies!$B$8*Enemies!$B$9^(30-1),1)</f>
        <v/>
      </c>
      <c r="D32" s="12">
        <f>ROUND(Enemies!$B$10*Enemies!$B$11^(30-1),0)</f>
        <v/>
      </c>
      <c r="E32" s="12">
        <f>ROUND(Enemies!$C$5*Enemies!$C$6^(30-1),0)</f>
        <v/>
      </c>
      <c r="F32" s="16">
        <f>ROUND(Enemies!$C$8*Enemies!$C$9^(30-1),1)</f>
        <v/>
      </c>
      <c r="G32" s="12">
        <f>ROUND(Enemies!$C$10*Enemies!$C$11^(30-1),0)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8" customWidth="1" min="4" max="4"/>
    <col width="26" customWidth="1" min="5" max="5"/>
  </cols>
  <sheetData>
    <row r="1">
      <c r="A1" s="1" t="inlineStr">
        <is>
          <t>WAVE COMPOSITION &amp; PACING</t>
        </is>
      </c>
    </row>
    <row r="2">
      <c r="A2" s="2" t="inlineStr">
        <is>
          <t>count(wave) = MIN(baseEnemyCount + (wave-1)*countIncrement, maxWaveEnemyCount)</t>
        </is>
      </c>
    </row>
    <row r="4">
      <c r="A4" s="10" t="inlineStr">
        <is>
          <t>Wave</t>
        </is>
      </c>
      <c r="B4" s="10" t="inlineStr">
        <is>
          <t>Enemy count</t>
        </is>
      </c>
      <c r="C4" s="10" t="inlineStr">
        <is>
          <t>Spawn time (count*interval)</t>
        </is>
      </c>
      <c r="D4" s="10" t="inlineStr">
        <is>
          <t>Total wave XP (basic, scaled)</t>
        </is>
      </c>
      <c r="E4" s="10" t="inlineStr">
        <is>
          <t>Cumulative XP from waves</t>
        </is>
      </c>
    </row>
    <row r="5">
      <c r="A5" s="11" t="n">
        <v>1</v>
      </c>
      <c r="B5" s="13">
        <f>MIN(Config!$B$21+(1-1)*Config!$B$22,Config!$B$23)</f>
        <v/>
      </c>
      <c r="C5" s="14">
        <f>B5*Config!$B$25</f>
        <v/>
      </c>
      <c r="D5" s="12">
        <f>B5*ROUND(Enemies!$B$10*Enemies!$B$11^(1-1),0)</f>
        <v/>
      </c>
      <c r="E5" s="12">
        <f>D5</f>
        <v/>
      </c>
    </row>
    <row r="6">
      <c r="A6" s="11" t="n">
        <v>2</v>
      </c>
      <c r="B6" s="13">
        <f>MIN(Config!$B$21+(2-1)*Config!$B$22,Config!$B$23)</f>
        <v/>
      </c>
      <c r="C6" s="14">
        <f>B6*Config!$B$25</f>
        <v/>
      </c>
      <c r="D6" s="12">
        <f>B6*ROUND(Enemies!$B$10*Enemies!$B$11^(2-1),0)</f>
        <v/>
      </c>
      <c r="E6" s="12">
        <f>E5+D6</f>
        <v/>
      </c>
    </row>
    <row r="7">
      <c r="A7" s="11" t="n">
        <v>3</v>
      </c>
      <c r="B7" s="13">
        <f>MIN(Config!$B$21+(3-1)*Config!$B$22,Config!$B$23)</f>
        <v/>
      </c>
      <c r="C7" s="14">
        <f>B7*Config!$B$25</f>
        <v/>
      </c>
      <c r="D7" s="12">
        <f>B7*ROUND(Enemies!$B$10*Enemies!$B$11^(3-1),0)</f>
        <v/>
      </c>
      <c r="E7" s="12">
        <f>E6+D7</f>
        <v/>
      </c>
    </row>
    <row r="8">
      <c r="A8" s="11" t="n">
        <v>4</v>
      </c>
      <c r="B8" s="13">
        <f>MIN(Config!$B$21+(4-1)*Config!$B$22,Config!$B$23)</f>
        <v/>
      </c>
      <c r="C8" s="14">
        <f>B8*Config!$B$25</f>
        <v/>
      </c>
      <c r="D8" s="12">
        <f>B8*ROUND(Enemies!$B$10*Enemies!$B$11^(4-1),0)</f>
        <v/>
      </c>
      <c r="E8" s="12">
        <f>E7+D8</f>
        <v/>
      </c>
    </row>
    <row r="9">
      <c r="A9" s="11" t="n">
        <v>5</v>
      </c>
      <c r="B9" s="13">
        <f>MIN(Config!$B$21+(5-1)*Config!$B$22,Config!$B$23)</f>
        <v/>
      </c>
      <c r="C9" s="14">
        <f>B9*Config!$B$25</f>
        <v/>
      </c>
      <c r="D9" s="12">
        <f>B9*ROUND(Enemies!$B$10*Enemies!$B$11^(5-1),0)</f>
        <v/>
      </c>
      <c r="E9" s="12">
        <f>E8+D9</f>
        <v/>
      </c>
    </row>
    <row r="10">
      <c r="A10" s="11" t="n">
        <v>6</v>
      </c>
      <c r="B10" s="13">
        <f>MIN(Config!$B$21+(6-1)*Config!$B$22,Config!$B$23)</f>
        <v/>
      </c>
      <c r="C10" s="14">
        <f>B10*Config!$B$25</f>
        <v/>
      </c>
      <c r="D10" s="12">
        <f>B10*ROUND(Enemies!$B$10*Enemies!$B$11^(6-1),0)</f>
        <v/>
      </c>
      <c r="E10" s="12">
        <f>E9+D10</f>
        <v/>
      </c>
    </row>
    <row r="11">
      <c r="A11" s="11" t="n">
        <v>7</v>
      </c>
      <c r="B11" s="13">
        <f>MIN(Config!$B$21+(7-1)*Config!$B$22,Config!$B$23)</f>
        <v/>
      </c>
      <c r="C11" s="14">
        <f>B11*Config!$B$25</f>
        <v/>
      </c>
      <c r="D11" s="12">
        <f>B11*ROUND(Enemies!$B$10*Enemies!$B$11^(7-1),0)</f>
        <v/>
      </c>
      <c r="E11" s="12">
        <f>E10+D11</f>
        <v/>
      </c>
    </row>
    <row r="12">
      <c r="A12" s="11" t="n">
        <v>8</v>
      </c>
      <c r="B12" s="13">
        <f>MIN(Config!$B$21+(8-1)*Config!$B$22,Config!$B$23)</f>
        <v/>
      </c>
      <c r="C12" s="14">
        <f>B12*Config!$B$25</f>
        <v/>
      </c>
      <c r="D12" s="12">
        <f>B12*ROUND(Enemies!$B$10*Enemies!$B$11^(8-1),0)</f>
        <v/>
      </c>
      <c r="E12" s="12">
        <f>E11+D12</f>
        <v/>
      </c>
    </row>
    <row r="13">
      <c r="A13" s="11" t="n">
        <v>9</v>
      </c>
      <c r="B13" s="13">
        <f>MIN(Config!$B$21+(9-1)*Config!$B$22,Config!$B$23)</f>
        <v/>
      </c>
      <c r="C13" s="14">
        <f>B13*Config!$B$25</f>
        <v/>
      </c>
      <c r="D13" s="12">
        <f>B13*ROUND(Enemies!$B$10*Enemies!$B$11^(9-1),0)</f>
        <v/>
      </c>
      <c r="E13" s="12">
        <f>E12+D13</f>
        <v/>
      </c>
    </row>
    <row r="14">
      <c r="A14" s="11" t="n">
        <v>10</v>
      </c>
      <c r="B14" s="13">
        <f>MIN(Config!$B$21+(10-1)*Config!$B$22,Config!$B$23)</f>
        <v/>
      </c>
      <c r="C14" s="14">
        <f>B14*Config!$B$25</f>
        <v/>
      </c>
      <c r="D14" s="12">
        <f>B14*ROUND(Enemies!$B$10*Enemies!$B$11^(10-1),0)</f>
        <v/>
      </c>
      <c r="E14" s="12">
        <f>E13+D14</f>
        <v/>
      </c>
    </row>
    <row r="15">
      <c r="A15" s="11" t="n">
        <v>11</v>
      </c>
      <c r="B15" s="13">
        <f>MIN(Config!$B$21+(11-1)*Config!$B$22,Config!$B$23)</f>
        <v/>
      </c>
      <c r="C15" s="14">
        <f>B15*Config!$B$25</f>
        <v/>
      </c>
      <c r="D15" s="12">
        <f>B15*ROUND(Enemies!$B$10*Enemies!$B$11^(11-1),0)</f>
        <v/>
      </c>
      <c r="E15" s="12">
        <f>E14+D15</f>
        <v/>
      </c>
    </row>
    <row r="16">
      <c r="A16" s="11" t="n">
        <v>12</v>
      </c>
      <c r="B16" s="13">
        <f>MIN(Config!$B$21+(12-1)*Config!$B$22,Config!$B$23)</f>
        <v/>
      </c>
      <c r="C16" s="14">
        <f>B16*Config!$B$25</f>
        <v/>
      </c>
      <c r="D16" s="12">
        <f>B16*ROUND(Enemies!$B$10*Enemies!$B$11^(12-1),0)</f>
        <v/>
      </c>
      <c r="E16" s="12">
        <f>E15+D16</f>
        <v/>
      </c>
    </row>
    <row r="17">
      <c r="A17" s="11" t="n">
        <v>13</v>
      </c>
      <c r="B17" s="13">
        <f>MIN(Config!$B$21+(13-1)*Config!$B$22,Config!$B$23)</f>
        <v/>
      </c>
      <c r="C17" s="14">
        <f>B17*Config!$B$25</f>
        <v/>
      </c>
      <c r="D17" s="12">
        <f>B17*ROUND(Enemies!$B$10*Enemies!$B$11^(13-1),0)</f>
        <v/>
      </c>
      <c r="E17" s="12">
        <f>E16+D17</f>
        <v/>
      </c>
    </row>
    <row r="18">
      <c r="A18" s="11" t="n">
        <v>14</v>
      </c>
      <c r="B18" s="13">
        <f>MIN(Config!$B$21+(14-1)*Config!$B$22,Config!$B$23)</f>
        <v/>
      </c>
      <c r="C18" s="14">
        <f>B18*Config!$B$25</f>
        <v/>
      </c>
      <c r="D18" s="12">
        <f>B18*ROUND(Enemies!$B$10*Enemies!$B$11^(14-1),0)</f>
        <v/>
      </c>
      <c r="E18" s="12">
        <f>E17+D18</f>
        <v/>
      </c>
    </row>
    <row r="19">
      <c r="A19" s="11" t="n">
        <v>15</v>
      </c>
      <c r="B19" s="13">
        <f>MIN(Config!$B$21+(15-1)*Config!$B$22,Config!$B$23)</f>
        <v/>
      </c>
      <c r="C19" s="14">
        <f>B19*Config!$B$25</f>
        <v/>
      </c>
      <c r="D19" s="12">
        <f>B19*ROUND(Enemies!$B$10*Enemies!$B$11^(15-1),0)</f>
        <v/>
      </c>
      <c r="E19" s="12">
        <f>E18+D19</f>
        <v/>
      </c>
    </row>
    <row r="20">
      <c r="A20" s="11" t="n">
        <v>16</v>
      </c>
      <c r="B20" s="13">
        <f>MIN(Config!$B$21+(16-1)*Config!$B$22,Config!$B$23)</f>
        <v/>
      </c>
      <c r="C20" s="14">
        <f>B20*Config!$B$25</f>
        <v/>
      </c>
      <c r="D20" s="12">
        <f>B20*ROUND(Enemies!$B$10*Enemies!$B$11^(16-1),0)</f>
        <v/>
      </c>
      <c r="E20" s="12">
        <f>E19+D20</f>
        <v/>
      </c>
    </row>
    <row r="21">
      <c r="A21" s="11" t="n">
        <v>17</v>
      </c>
      <c r="B21" s="13">
        <f>MIN(Config!$B$21+(17-1)*Config!$B$22,Config!$B$23)</f>
        <v/>
      </c>
      <c r="C21" s="14">
        <f>B21*Config!$B$25</f>
        <v/>
      </c>
      <c r="D21" s="12">
        <f>B21*ROUND(Enemies!$B$10*Enemies!$B$11^(17-1),0)</f>
        <v/>
      </c>
      <c r="E21" s="12">
        <f>E20+D21</f>
        <v/>
      </c>
    </row>
    <row r="22">
      <c r="A22" s="11" t="n">
        <v>18</v>
      </c>
      <c r="B22" s="13">
        <f>MIN(Config!$B$21+(18-1)*Config!$B$22,Config!$B$23)</f>
        <v/>
      </c>
      <c r="C22" s="14">
        <f>B22*Config!$B$25</f>
        <v/>
      </c>
      <c r="D22" s="12">
        <f>B22*ROUND(Enemies!$B$10*Enemies!$B$11^(18-1),0)</f>
        <v/>
      </c>
      <c r="E22" s="12">
        <f>E21+D22</f>
        <v/>
      </c>
    </row>
    <row r="23">
      <c r="A23" s="11" t="n">
        <v>19</v>
      </c>
      <c r="B23" s="13">
        <f>MIN(Config!$B$21+(19-1)*Config!$B$22,Config!$B$23)</f>
        <v/>
      </c>
      <c r="C23" s="14">
        <f>B23*Config!$B$25</f>
        <v/>
      </c>
      <c r="D23" s="12">
        <f>B23*ROUND(Enemies!$B$10*Enemies!$B$11^(19-1),0)</f>
        <v/>
      </c>
      <c r="E23" s="12">
        <f>E22+D23</f>
        <v/>
      </c>
    </row>
    <row r="24">
      <c r="A24" s="11" t="n">
        <v>20</v>
      </c>
      <c r="B24" s="13">
        <f>MIN(Config!$B$21+(20-1)*Config!$B$22,Config!$B$23)</f>
        <v/>
      </c>
      <c r="C24" s="14">
        <f>B24*Config!$B$25</f>
        <v/>
      </c>
      <c r="D24" s="12">
        <f>B24*ROUND(Enemies!$B$10*Enemies!$B$11^(20-1),0)</f>
        <v/>
      </c>
      <c r="E24" s="12">
        <f>E23+D24</f>
        <v/>
      </c>
    </row>
    <row r="25">
      <c r="A25" s="11" t="n">
        <v>21</v>
      </c>
      <c r="B25" s="13">
        <f>MIN(Config!$B$21+(21-1)*Config!$B$22,Config!$B$23)</f>
        <v/>
      </c>
      <c r="C25" s="14">
        <f>B25*Config!$B$25</f>
        <v/>
      </c>
      <c r="D25" s="12">
        <f>B25*ROUND(Enemies!$B$10*Enemies!$B$11^(21-1),0)</f>
        <v/>
      </c>
      <c r="E25" s="12">
        <f>E24+D25</f>
        <v/>
      </c>
    </row>
    <row r="26">
      <c r="A26" s="11" t="n">
        <v>22</v>
      </c>
      <c r="B26" s="13">
        <f>MIN(Config!$B$21+(22-1)*Config!$B$22,Config!$B$23)</f>
        <v/>
      </c>
      <c r="C26" s="14">
        <f>B26*Config!$B$25</f>
        <v/>
      </c>
      <c r="D26" s="12">
        <f>B26*ROUND(Enemies!$B$10*Enemies!$B$11^(22-1),0)</f>
        <v/>
      </c>
      <c r="E26" s="12">
        <f>E25+D26</f>
        <v/>
      </c>
    </row>
    <row r="27">
      <c r="A27" s="11" t="n">
        <v>23</v>
      </c>
      <c r="B27" s="13">
        <f>MIN(Config!$B$21+(23-1)*Config!$B$22,Config!$B$23)</f>
        <v/>
      </c>
      <c r="C27" s="14">
        <f>B27*Config!$B$25</f>
        <v/>
      </c>
      <c r="D27" s="12">
        <f>B27*ROUND(Enemies!$B$10*Enemies!$B$11^(23-1),0)</f>
        <v/>
      </c>
      <c r="E27" s="12">
        <f>E26+D27</f>
        <v/>
      </c>
    </row>
    <row r="28">
      <c r="A28" s="11" t="n">
        <v>24</v>
      </c>
      <c r="B28" s="13">
        <f>MIN(Config!$B$21+(24-1)*Config!$B$22,Config!$B$23)</f>
        <v/>
      </c>
      <c r="C28" s="14">
        <f>B28*Config!$B$25</f>
        <v/>
      </c>
      <c r="D28" s="12">
        <f>B28*ROUND(Enemies!$B$10*Enemies!$B$11^(24-1),0)</f>
        <v/>
      </c>
      <c r="E28" s="12">
        <f>E27+D28</f>
        <v/>
      </c>
    </row>
    <row r="29">
      <c r="A29" s="11" t="n">
        <v>25</v>
      </c>
      <c r="B29" s="13">
        <f>MIN(Config!$B$21+(25-1)*Config!$B$22,Config!$B$23)</f>
        <v/>
      </c>
      <c r="C29" s="14">
        <f>B29*Config!$B$25</f>
        <v/>
      </c>
      <c r="D29" s="12">
        <f>B29*ROUND(Enemies!$B$10*Enemies!$B$11^(25-1),0)</f>
        <v/>
      </c>
      <c r="E29" s="12">
        <f>E28+D29</f>
        <v/>
      </c>
    </row>
    <row r="30">
      <c r="A30" s="11" t="n">
        <v>26</v>
      </c>
      <c r="B30" s="13">
        <f>MIN(Config!$B$21+(26-1)*Config!$B$22,Config!$B$23)</f>
        <v/>
      </c>
      <c r="C30" s="14">
        <f>B30*Config!$B$25</f>
        <v/>
      </c>
      <c r="D30" s="12">
        <f>B30*ROUND(Enemies!$B$10*Enemies!$B$11^(26-1),0)</f>
        <v/>
      </c>
      <c r="E30" s="12">
        <f>E29+D30</f>
        <v/>
      </c>
    </row>
    <row r="31">
      <c r="A31" s="11" t="n">
        <v>27</v>
      </c>
      <c r="B31" s="13">
        <f>MIN(Config!$B$21+(27-1)*Config!$B$22,Config!$B$23)</f>
        <v/>
      </c>
      <c r="C31" s="14">
        <f>B31*Config!$B$25</f>
        <v/>
      </c>
      <c r="D31" s="12">
        <f>B31*ROUND(Enemies!$B$10*Enemies!$B$11^(27-1),0)</f>
        <v/>
      </c>
      <c r="E31" s="12">
        <f>E30+D31</f>
        <v/>
      </c>
    </row>
    <row r="32">
      <c r="A32" s="11" t="n">
        <v>28</v>
      </c>
      <c r="B32" s="13">
        <f>MIN(Config!$B$21+(28-1)*Config!$B$22,Config!$B$23)</f>
        <v/>
      </c>
      <c r="C32" s="14">
        <f>B32*Config!$B$25</f>
        <v/>
      </c>
      <c r="D32" s="12">
        <f>B32*ROUND(Enemies!$B$10*Enemies!$B$11^(28-1),0)</f>
        <v/>
      </c>
      <c r="E32" s="12">
        <f>E31+D32</f>
        <v/>
      </c>
    </row>
    <row r="33">
      <c r="A33" s="11" t="n">
        <v>29</v>
      </c>
      <c r="B33" s="13">
        <f>MIN(Config!$B$21+(29-1)*Config!$B$22,Config!$B$23)</f>
        <v/>
      </c>
      <c r="C33" s="14">
        <f>B33*Config!$B$25</f>
        <v/>
      </c>
      <c r="D33" s="12">
        <f>B33*ROUND(Enemies!$B$10*Enemies!$B$11^(29-1),0)</f>
        <v/>
      </c>
      <c r="E33" s="12">
        <f>E32+D33</f>
        <v/>
      </c>
    </row>
    <row r="34">
      <c r="A34" s="11" t="n">
        <v>30</v>
      </c>
      <c r="B34" s="13">
        <f>MIN(Config!$B$21+(30-1)*Config!$B$22,Config!$B$23)</f>
        <v/>
      </c>
      <c r="C34" s="14">
        <f>B34*Config!$B$25</f>
        <v/>
      </c>
      <c r="D34" s="12">
        <f>B34*ROUND(Enemies!$B$10*Enemies!$B$11^(30-1),0)</f>
        <v/>
      </c>
      <c r="E34" s="12">
        <f>E33+D34</f>
        <v/>
      </c>
    </row>
    <row r="37">
      <c r="A37" s="2" t="inlineStr">
        <is>
          <t>Not: D/E sutunlari BasicEnemy referansli; gercekte Bomber + multi-kill + quest XP'si de var (asagi bak).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1" customWidth="1" min="4" max="4"/>
    <col width="8" customWidth="1" min="5" max="5"/>
    <col width="12" customWidth="1" min="6" max="6"/>
    <col width="11" customWidth="1" min="7" max="7"/>
    <col width="11" customWidth="1" min="8" max="8"/>
    <col width="12" customWidth="1" min="9" max="9"/>
    <col width="12" customWidth="1" min="10" max="10"/>
    <col width="45" customWidth="1" min="11" max="11"/>
  </cols>
  <sheetData>
    <row r="1">
      <c r="A1" s="1" t="inlineStr">
        <is>
          <t>ABILITIES</t>
        </is>
      </c>
    </row>
    <row r="2">
      <c r="A2" s="2" t="inlineStr">
        <is>
          <t>effectiveCooldown = Cooldown / (1 + abilityCDLevelFactor * playerLevel)</t>
        </is>
      </c>
    </row>
    <row r="4">
      <c r="A4" s="10" t="inlineStr">
        <is>
          <t>Ability</t>
        </is>
      </c>
      <c r="B4" s="10" t="inlineStr">
        <is>
          <t>Input</t>
        </is>
      </c>
      <c r="C4" s="10" t="inlineStr">
        <is>
          <t>Type</t>
        </is>
      </c>
      <c r="D4" s="10" t="inlineStr">
        <is>
          <t>Base CD (s)</t>
        </is>
      </c>
      <c r="E4" s="10" t="inlineStr">
        <is>
          <t>Value</t>
        </is>
      </c>
      <c r="F4" s="10" t="inlineStr">
        <is>
          <t>Duration (s)</t>
        </is>
      </c>
      <c r="G4" s="10" t="inlineStr">
        <is>
          <t>Eff.CD @Lv1</t>
        </is>
      </c>
      <c r="H4" s="10" t="inlineStr">
        <is>
          <t>Eff.CD @Lv5</t>
        </is>
      </c>
      <c r="I4" s="10" t="inlineStr">
        <is>
          <t>Eff.CD @Lv10</t>
        </is>
      </c>
      <c r="J4" s="10" t="inlineStr">
        <is>
          <t>Eff.CD @Lv20</t>
        </is>
      </c>
      <c r="K4" s="10" t="inlineStr">
        <is>
          <t>Notes</t>
        </is>
      </c>
    </row>
    <row r="5">
      <c r="A5" s="17" t="inlineStr">
        <is>
          <t>Dash</t>
        </is>
      </c>
      <c r="B5" s="19" t="inlineStr">
        <is>
          <t>Q</t>
        </is>
      </c>
      <c r="C5" s="19" t="inlineStr">
        <is>
          <t>Dash</t>
        </is>
      </c>
      <c r="D5" s="7" t="n">
        <v>1</v>
      </c>
      <c r="E5" s="7" t="n">
        <v>15</v>
      </c>
      <c r="F5" s="7" t="n">
        <v>0</v>
      </c>
      <c r="G5" s="20">
        <f>D5/(1+Config!$B$30*1)</f>
        <v/>
      </c>
      <c r="H5" s="20">
        <f>D5/(1+Config!$B$30*5)</f>
        <v/>
      </c>
      <c r="I5" s="20">
        <f>D5/(1+Config!$B$30*10)</f>
        <v/>
      </c>
      <c r="J5" s="20">
        <f>D5/(1+Config!$B$30*20)</f>
        <v/>
      </c>
      <c r="K5" s="8" t="inlineStr">
        <is>
          <t>Ileri atilma mesafesi/kuvveti = Value</t>
        </is>
      </c>
    </row>
    <row r="6">
      <c r="A6" s="17" t="inlineStr">
        <is>
          <t>Shield</t>
        </is>
      </c>
      <c r="B6" s="19" t="inlineStr">
        <is>
          <t>UI slot click</t>
        </is>
      </c>
      <c r="C6" s="19" t="inlineStr">
        <is>
          <t>Shield</t>
        </is>
      </c>
      <c r="D6" s="7" t="n">
        <v>8</v>
      </c>
      <c r="E6" s="7" t="n">
        <v>20</v>
      </c>
      <c r="F6" s="7" t="n">
        <v>3</v>
      </c>
      <c r="G6" s="20">
        <f>D6/(1+Config!$B$30*1)</f>
        <v/>
      </c>
      <c r="H6" s="20">
        <f>D6/(1+Config!$B$30*5)</f>
        <v/>
      </c>
      <c r="I6" s="20">
        <f>D6/(1+Config!$B$30*10)</f>
        <v/>
      </c>
      <c r="J6" s="20">
        <f>D6/(1+Config!$B$30*20)</f>
        <v/>
      </c>
      <c r="K6" s="8" t="inlineStr">
        <is>
          <t>Value = +Defense (sure boyunca)</t>
        </is>
      </c>
    </row>
    <row r="7">
      <c r="A7" s="17" t="inlineStr">
        <is>
          <t>AoE</t>
        </is>
      </c>
      <c r="B7" s="19" t="inlineStr">
        <is>
          <t>UI slot click</t>
        </is>
      </c>
      <c r="C7" s="19" t="inlineStr">
        <is>
          <t>AoE</t>
        </is>
      </c>
      <c r="D7" s="7" t="n">
        <v>10</v>
      </c>
      <c r="E7" s="7" t="n">
        <v>10</v>
      </c>
      <c r="F7" s="7" t="n">
        <v>3</v>
      </c>
      <c r="G7" s="20">
        <f>D7/(1+Config!$B$30*1)</f>
        <v/>
      </c>
      <c r="H7" s="20">
        <f>D7/(1+Config!$B$30*5)</f>
        <v/>
      </c>
      <c r="I7" s="20">
        <f>D7/(1+Config!$B$30*10)</f>
        <v/>
      </c>
      <c r="J7" s="20">
        <f>D7/(1+Config!$B$30*20)</f>
        <v/>
      </c>
      <c r="K7" s="8" t="inlineStr">
        <is>
          <t>Value = yaricap. Hasar = playerDamage*2</t>
        </is>
      </c>
    </row>
    <row r="8">
      <c r="A8" s="17" t="inlineStr">
        <is>
          <t>Heal</t>
        </is>
      </c>
      <c r="B8" s="19" t="inlineStr">
        <is>
          <t>UI slot click</t>
        </is>
      </c>
      <c r="C8" s="19" t="inlineStr">
        <is>
          <t>Heal</t>
        </is>
      </c>
      <c r="D8" s="7" t="n">
        <v>12</v>
      </c>
      <c r="E8" s="7" t="n">
        <v>30</v>
      </c>
      <c r="F8" s="7" t="n">
        <v>0</v>
      </c>
      <c r="G8" s="20">
        <f>D8/(1+Config!$B$30*1)</f>
        <v/>
      </c>
      <c r="H8" s="20">
        <f>D8/(1+Config!$B$30*5)</f>
        <v/>
      </c>
      <c r="I8" s="20">
        <f>D8/(1+Config!$B$30*10)</f>
        <v/>
      </c>
      <c r="J8" s="20">
        <f>D8/(1+Config!$B$30*20)</f>
        <v/>
      </c>
      <c r="K8" s="8" t="inlineStr">
        <is>
          <t>Value = iyilesme miktari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4" customWidth="1" min="3" max="3"/>
    <col width="44" customWidth="1" min="4" max="4"/>
  </cols>
  <sheetData>
    <row r="1">
      <c r="A1" s="1" t="inlineStr">
        <is>
          <t>ECONOMY, QUESTS, ACHIEVEMENTS, SAVE DATA</t>
        </is>
      </c>
    </row>
    <row r="3">
      <c r="A3" s="4" t="inlineStr">
        <is>
          <t>QUESTS (QuestSO)</t>
        </is>
      </c>
      <c r="B3" s="5" t="inlineStr"/>
      <c r="C3" s="5" t="inlineStr"/>
      <c r="D3" s="5" t="inlineStr"/>
    </row>
    <row r="4">
      <c r="A4" s="10" t="inlineStr">
        <is>
          <t>Quest</t>
        </is>
      </c>
      <c r="B4" s="10" t="inlineStr">
        <is>
          <t>Requirement</t>
        </is>
      </c>
      <c r="C4" s="10" t="inlineStr">
        <is>
          <t>XP Reward</t>
        </is>
      </c>
      <c r="D4" s="10" t="inlineStr">
        <is>
          <t>Note</t>
        </is>
      </c>
    </row>
    <row r="5">
      <c r="A5" s="6" t="inlineStr">
        <is>
          <t>Collect 5 diamond</t>
        </is>
      </c>
      <c r="B5" s="6" t="inlineStr">
        <is>
          <t>5 diamonds</t>
        </is>
      </c>
      <c r="C5" s="7" t="n">
        <v>30</v>
      </c>
      <c r="D5" s="8" t="inlineStr"/>
    </row>
    <row r="6">
      <c r="A6" s="6" t="inlineStr">
        <is>
          <t>10 Kill The Enemy</t>
        </is>
      </c>
      <c r="B6" s="6" t="inlineStr">
        <is>
          <t>10 kills</t>
        </is>
      </c>
      <c r="C6" s="7" t="n">
        <v>50</v>
      </c>
      <c r="D6" s="8" t="inlineStr"/>
    </row>
    <row r="7">
      <c r="A7" s="6" t="inlineStr">
        <is>
          <t>Kill 5 Without Damage</t>
        </is>
      </c>
      <c r="B7" s="6" t="inlineStr">
        <is>
          <t>5 kills, no dmg taken</t>
        </is>
      </c>
      <c r="C7" s="7" t="n">
        <v>100</v>
      </c>
      <c r="D7" s="8" t="inlineStr"/>
    </row>
    <row r="8">
      <c r="A8" s="6" t="inlineStr">
        <is>
          <t>Chain Killer</t>
        </is>
      </c>
      <c r="B8" s="6" t="inlineStr">
        <is>
          <t>3 multi-kills (Double+)</t>
        </is>
      </c>
      <c r="C8" s="7" t="n">
        <v>60</v>
      </c>
      <c r="D8" s="8" t="inlineStr"/>
    </row>
    <row r="9">
      <c r="A9" s="6" t="inlineStr">
        <is>
          <t>Survive 60 Seconds</t>
        </is>
      </c>
      <c r="B9" s="6" t="inlineStr">
        <is>
          <t>60s alive</t>
        </is>
      </c>
      <c r="C9" s="7" t="n">
        <v>80</v>
      </c>
      <c r="D9" s="8" t="inlineStr"/>
    </row>
    <row r="11">
      <c r="A11" s="4" t="inlineStr">
        <is>
          <t>ACHIEVEMENTS (AchievementSO) — kalici, PlayerPrefs 'Achv_&lt;name&gt;'</t>
        </is>
      </c>
      <c r="B11" s="5" t="inlineStr"/>
      <c r="C11" s="5" t="inlineStr"/>
      <c r="D11" s="5" t="inlineStr"/>
    </row>
    <row r="12">
      <c r="A12" s="10" t="inlineStr">
        <is>
          <t>Achievement</t>
        </is>
      </c>
      <c r="B12" s="10" t="inlineStr">
        <is>
          <t>Tracked key</t>
        </is>
      </c>
      <c r="C12" s="10" t="inlineStr">
        <is>
          <t>Required</t>
        </is>
      </c>
      <c r="D12" s="10" t="inlineStr">
        <is>
          <t>Note</t>
        </is>
      </c>
    </row>
    <row r="13">
      <c r="A13" s="6" t="inlineStr">
        <is>
          <t>FIRST KILL!</t>
        </is>
      </c>
      <c r="B13" s="6" t="inlineStr">
        <is>
          <t>EnemiesKilled</t>
        </is>
      </c>
      <c r="C13" s="7" t="n">
        <v>1</v>
      </c>
      <c r="D13" s="8" t="inlineStr"/>
    </row>
    <row r="14">
      <c r="A14" s="6" t="inlineStr">
        <is>
          <t>WARRIOR!</t>
        </is>
      </c>
      <c r="B14" s="6" t="inlineStr">
        <is>
          <t>EnemiesKilled</t>
        </is>
      </c>
      <c r="C14" s="7" t="n">
        <v>10</v>
      </c>
      <c r="D14" s="8" t="inlineStr"/>
    </row>
    <row r="16">
      <c r="A16" s="4" t="inlineStr">
        <is>
          <t>MULTI-KILL BONUS XP (MultiKillUI, comboWindow=3s)</t>
        </is>
      </c>
      <c r="B16" s="5" t="inlineStr"/>
      <c r="C16" s="5" t="inlineStr"/>
      <c r="D16" s="5" t="inlineStr"/>
    </row>
    <row r="17">
      <c r="A17" s="10" t="inlineStr">
        <is>
          <t>Combo</t>
        </is>
      </c>
      <c r="B17" s="10" t="inlineStr">
        <is>
          <t>Label</t>
        </is>
      </c>
      <c r="C17" s="10" t="inlineStr">
        <is>
          <t>Bonus XP</t>
        </is>
      </c>
      <c r="D17" s="10" t="inlineStr"/>
    </row>
    <row r="18">
      <c r="A18" s="19" t="inlineStr">
        <is>
          <t>2</t>
        </is>
      </c>
      <c r="B18" s="6" t="inlineStr">
        <is>
          <t>DOUBLE KILL!</t>
        </is>
      </c>
      <c r="C18" s="7" t="n">
        <v>10</v>
      </c>
    </row>
    <row r="19">
      <c r="A19" s="19" t="inlineStr">
        <is>
          <t>3</t>
        </is>
      </c>
      <c r="B19" s="6" t="inlineStr">
        <is>
          <t>TRIPLE KILL!</t>
        </is>
      </c>
      <c r="C19" s="7" t="n">
        <v>20</v>
      </c>
    </row>
    <row r="20">
      <c r="A20" s="19" t="inlineStr">
        <is>
          <t>4</t>
        </is>
      </c>
      <c r="B20" s="6" t="inlineStr">
        <is>
          <t>QUADRA KILL!</t>
        </is>
      </c>
      <c r="C20" s="7" t="n">
        <v>35</v>
      </c>
    </row>
    <row r="21">
      <c r="A21" s="19" t="inlineStr">
        <is>
          <t>5+</t>
        </is>
      </c>
      <c r="B21" s="6" t="inlineStr">
        <is>
          <t>PENTA KILL!</t>
        </is>
      </c>
      <c r="C21" s="7" t="n">
        <v>50</v>
      </c>
    </row>
    <row r="23">
      <c r="A23" s="4" t="inlineStr">
        <is>
          <t>SAVE DATA (SaveSystem.cs — PlayerPrefs, kalici)</t>
        </is>
      </c>
      <c r="B23" s="5" t="inlineStr"/>
      <c r="C23" s="5" t="inlineStr"/>
      <c r="D23" s="5" t="inlineStr"/>
    </row>
    <row r="24">
      <c r="A24" s="10" t="inlineStr">
        <is>
          <t>Key</t>
        </is>
      </c>
      <c r="B24" s="10" t="inlineStr">
        <is>
          <t>Ne tutar</t>
        </is>
      </c>
      <c r="C24" s="10" t="inlineStr">
        <is>
          <t>Ne zaman yazilir</t>
        </is>
      </c>
      <c r="D24" s="10" t="inlineStr">
        <is>
          <t>Ne zaman kullanilir</t>
        </is>
      </c>
    </row>
    <row r="25">
      <c r="A25" s="17" t="inlineStr">
        <is>
          <t>BestWave</t>
        </is>
      </c>
      <c r="B25" s="6" t="inlineStr">
        <is>
          <t>En yuksek ulasilan dalga</t>
        </is>
      </c>
      <c r="C25" s="6" t="inlineStr">
        <is>
          <t>Olunce (yeni rekorsa)</t>
        </is>
      </c>
      <c r="D25" s="6" t="inlineStr">
        <is>
          <t>Yeni run bu dalgadan baslar</t>
        </is>
      </c>
    </row>
    <row r="26">
      <c r="A26" s="17" t="inlineStr">
        <is>
          <t>BestPlayerLevel</t>
        </is>
      </c>
      <c r="B26" s="6" t="inlineStr">
        <is>
          <t>En yuksek oyuncu seviyesi (dalgadan BAGIMSIZ)</t>
        </is>
      </c>
      <c r="C26" s="6" t="inlineStr">
        <is>
          <t>Olunce (yeni rekorsa)</t>
        </is>
      </c>
      <c r="D26" s="6" t="inlineStr">
        <is>
          <t>Yeni run bu seviyeden baslar + stat catch-up</t>
        </is>
      </c>
    </row>
    <row r="27">
      <c r="A27" s="17" t="inlineStr">
        <is>
          <t>BestKills / BestDiamonds</t>
        </is>
      </c>
      <c r="B27" s="6" t="inlineStr">
        <is>
          <t>Bir run'daki rekor</t>
        </is>
      </c>
      <c r="C27" s="6" t="inlineStr">
        <is>
          <t>Olunce</t>
        </is>
      </c>
      <c r="D27" s="6" t="inlineStr">
        <is>
          <t>Sadece gosterim</t>
        </is>
      </c>
    </row>
    <row r="28">
      <c r="A28" s="17" t="inlineStr">
        <is>
          <t>TotalDiamonds</t>
        </is>
      </c>
      <c r="B28" s="6" t="inlineStr">
        <is>
          <t>TUM run'lar boyunca biriken elmas</t>
        </is>
      </c>
      <c r="C28" s="6" t="inlineStr">
        <is>
          <t>Her elmas toplandiginda</t>
        </is>
      </c>
      <c r="D28" s="6" t="inlineStr">
        <is>
          <t>Start Menu'de gosterilir (ileride magaza)</t>
        </is>
      </c>
    </row>
    <row r="29">
      <c r="A29" s="17" t="inlineStr">
        <is>
          <t>Achv_&lt;name&gt;</t>
        </is>
      </c>
      <c r="B29" s="6" t="inlineStr">
        <is>
          <t>Acilan basarim</t>
        </is>
      </c>
      <c r="C29" s="6" t="inlineStr">
        <is>
          <t>Basarim acildiginda</t>
        </is>
      </c>
      <c r="D29" s="6" t="inlineStr">
        <is>
          <t>Awake'de geri yuklenir</t>
        </is>
      </c>
    </row>
    <row r="30">
      <c r="A30" s="17" t="inlineStr">
        <is>
          <t>HowToPlayShown</t>
        </is>
      </c>
      <c r="B30" s="6" t="inlineStr">
        <is>
          <t>Nasil oynanir paneli 1 kez gosterildi mi</t>
        </is>
      </c>
      <c r="C30" s="6" t="inlineStr">
        <is>
          <t>Ilk gosterimde</t>
        </is>
      </c>
      <c r="D30" s="6" t="inlineStr">
        <is>
          <t>Bir daha hic gosterilmez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42" customWidth="1" min="4" max="4"/>
    <col width="60" customWidth="1" min="5" max="5"/>
  </cols>
  <sheetData>
    <row r="1">
      <c r="A1" s="1" t="inlineStr">
        <is>
          <t>TESPIT EDILEN DENGE SORUNLARI &amp; ONERILER</t>
        </is>
      </c>
    </row>
    <row r="2">
      <c r="A2" s="2" t="inlineStr">
        <is>
          <t>Kullanicinin gozlemi: 'oyun cok cabuk level aliyor', 'enemyler arasi ayrim yok', 'player'in cani cok cabuk buyuyor'</t>
        </is>
      </c>
    </row>
    <row r="3">
      <c r="A3" s="3" t="inlineStr">
        <is>
          <t>1. GECIS UYGULANDI (2026-09-10): healthIncreasePerLevel 20-&gt;8 | xpMultiplier 1.15-&gt;1.3 | baseXPRequired 100-&gt;140 | enemy HP artik dalgayla x1.07 olcekleniyor (EnemyAI.Initialize). Test edip ince ayar yap.</t>
        </is>
      </c>
    </row>
    <row r="4">
      <c r="A4" s="10" t="inlineStr">
        <is>
          <t>#</t>
        </is>
      </c>
      <c r="B4" s="10" t="inlineStr">
        <is>
          <t>Sorun</t>
        </is>
      </c>
      <c r="C4" s="10" t="inlineStr">
        <is>
          <t>Sebep (formul)</t>
        </is>
      </c>
      <c r="D4" s="10" t="inlineStr">
        <is>
          <t>Su anki degerle ornek</t>
        </is>
      </c>
      <c r="E4" s="10" t="inlineStr">
        <is>
          <t>Oneri</t>
        </is>
      </c>
    </row>
    <row r="5" ht="90" customHeight="1">
      <c r="A5" s="21" t="inlineStr">
        <is>
          <t>1</t>
        </is>
      </c>
      <c r="B5" s="21" t="inlineStr">
        <is>
          <t>Player cani cok cabuk buyuyor</t>
        </is>
      </c>
      <c r="C5" s="22" t="inlineStr">
        <is>
          <t>SCharacterStats.HandleLevelUp: HER level-up'ta +healthIncreasePerLevel * yeniLevel HP. Level'le KATLANIR. Kumulatif Max HP = 100 + 20*(L*(L+1)/2 - 1).</t>
        </is>
      </c>
      <c r="D5" s="22" t="inlineStr">
        <is>
          <t>Lv5 -&gt; Max HP 380 (3.8x taban). Lv10 -&gt; 1180 (11.8x). Lv20 -&gt; 4280 (42.8x). Her level-up ayrica cani FULL doldurur.</t>
        </is>
      </c>
      <c r="E5" s="22" t="inlineStr">
        <is>
          <t>healthIncreasePerLevel: 20 -&gt; 6-8. VEYA HandleLevelUp'ta '* newLevel' carpanini kaldirip sabit artis yap. Player Progression sayfasindan yeni egriyi kontrol et.</t>
        </is>
      </c>
    </row>
    <row r="6" ht="90" customHeight="1">
      <c r="A6" s="21" t="inlineStr">
        <is>
          <t>2</t>
        </is>
      </c>
      <c r="B6" s="21" t="inlineStr">
        <is>
          <t>Oyun cok cabuk level aliyor</t>
        </is>
      </c>
      <c r="C6" s="22" t="inlineStr">
        <is>
          <t>xpMultiplier onceki bir duzeltmede 1.5 -&gt; 1.15'e dusuruldu (yuksek catch-up seviyesinde 'XP kazanmiyorum' sorunu icindi). Simdi erken leveller cok ucuz + her kill dalgayla artan XP veriyor.</t>
        </is>
      </c>
      <c r="D6" s="22" t="inlineStr">
        <is>
          <t>Lv1-&gt;2: 100 XP (~7 basic kill ~ 2 dalga). Lv5-&gt;6: 175 XP. XP &amp; Levels sayfasi 'Kills to level' sutununa bak.</t>
        </is>
      </c>
      <c r="E6" s="22" t="inlineStr">
        <is>
          <t>Orta yol: xpMultiplier 1.15 -&gt; 1.28-1.35 VE baseXPRequired 100 -&gt; 130-150. Ikisini birlikte oyna, 'Kills to level' 8-15 arasi otursun.</t>
        </is>
      </c>
    </row>
    <row r="7" ht="90" customHeight="1">
      <c r="A7" s="21" t="inlineStr">
        <is>
          <t>3</t>
        </is>
      </c>
      <c r="B7" s="21" t="inlineStr">
        <is>
          <t>Enemyler arasi ayrim yok / dusman zorlanmiyor</t>
        </is>
      </c>
      <c r="C7" s="22" t="inlineStr">
        <is>
          <t>SADECE 2 tip var. GERCEK can EnemyDataSO'dan degil PREFABTAN (Basic 100 / Bomber 160 - sadece 1.6x). ScaleHealth() KODDA HIC CAGRILMIYOR -&gt; dusman cani DALGAYLA HIC BUYUMEZ. Sadece melee-hasar (1.06/dalga) ve XP (1.05/dalga) olceklenir.</t>
        </is>
      </c>
      <c r="D7" s="22" t="inlineStr">
        <is>
          <t>Player Lv10'da ~145 hasar + silah 15 base -&gt; her dusmani (100-160 HP) 1-2 vurusla oldurur, dalga 30'da bile. Bomber ile Basic oynanista neredeyse ayni hissettirir.</t>
        </is>
      </c>
      <c r="E7" s="22" t="inlineStr">
        <is>
          <t>a) Dusman canini dalgayla olcekle (ScaleHealth'i EnemyAI'da uygula VEYA prefaba wave-carpani ekle) - ama COK dik olmasin (~1.06-1.10/dalga). b) 3.-4. tip ekle: hizli-zayif 'runner', menzilli 'archer', kalabalik 'swarm'. c) Bomber'i gercek tehdit yap (daha genis patlama, patlamadan once yaklasip 'fitil' animasyonu).</t>
        </is>
      </c>
    </row>
    <row r="8" ht="90" customHeight="1">
      <c r="A8" s="21" t="inlineStr">
        <is>
          <t>4</t>
        </is>
      </c>
      <c r="B8" s="21" t="inlineStr">
        <is>
          <t>Catch-up stat bonusu cok sert</t>
        </is>
      </c>
      <c r="C8" s="22" t="inlineStr">
        <is>
          <t>EnemySpawner.Start -&gt; ApplyCatchUpLevels(BestPlayerLevel): tek seferde +20*(L*(L+1)/2-1) HP. Yani #1'deki tum level-up artislarinin toplami aninda uygulanir.</t>
        </is>
      </c>
      <c r="D8" s="22" t="inlineStr">
        <is>
          <t>BestPlayerLevel=11 -&gt; yeni run basinda +1300 HP, +162 hasar. Zaten cok yuksek taban.</t>
        </is>
      </c>
      <c r="E8" s="22" t="inlineStr">
        <is>
          <t>Once #1'i cöz (healthIncreasePerLevel kucult) - catch-up otomatik makullesir. Istersen catch-up carpani ekle: bonus'u * 0.5-0.7 ile uygula.</t>
        </is>
      </c>
    </row>
    <row r="9" ht="90" customHeight="1">
      <c r="A9" s="21" t="inlineStr">
        <is>
          <t>5</t>
        </is>
      </c>
      <c r="B9" s="21" t="inlineStr">
        <is>
          <t>(Bilgi) Kullanilmayan / olu config</t>
        </is>
      </c>
      <c r="C9" s="22" t="inlineStr">
        <is>
          <t>EnemyDataSO.BaseHealth (50/160) ve HealthScalePerWave (1.44) hicbir kod tarafindan okunmuyor. WeaponData.asset ile PistolWeapon.asset ayni (ikisi de kullaniliyor mu belirsiz).</t>
        </is>
      </c>
      <c r="D9" s="22" t="inlineStr">
        <is>
          <t>Yanlis izlenim veriyor - 'HealthScalePerWave 1.44' cok dik gorunuyor ama zaten etkisiz.</t>
        </is>
      </c>
      <c r="E9" s="22" t="inlineStr">
        <is>
          <t>Ya ScaleHealth'i baglayip bu alanlari canlandir, ya da EnemyDataSO'dan bu 2 alani sil (kafa karistirmasin).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2026-09-10T20:06:59Z</dcterms:created>
  <dcterms:modified xsi:type="dcterms:W3CDTF">2026-09-10T20:06:59Z</dcterms:modified>
</cp:coreProperties>
</file>